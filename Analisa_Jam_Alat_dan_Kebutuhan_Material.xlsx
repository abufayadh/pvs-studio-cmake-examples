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etunjuk" sheetId="1" r:id="rId1"/>
    <sheet name="Asumsi" sheetId="2" r:id="rId2"/>
    <sheet name="Kode_Pekerjaan" sheetId="3" r:id="rId3"/>
    <sheet name="Kode_Alat" sheetId="4" r:id="rId4"/>
    <sheet name="Input_Jalan" sheetId="5" r:id="rId5"/>
    <sheet name="Analisa_Produktivitas" sheetId="6" r:id="rId6"/>
    <sheet name="Analisa_Jam_Alat" sheetId="7" r:id="rId7"/>
    <sheet name="Kebutuhan_Material" sheetId="8" r:id="rId8"/>
    <sheet name="Rekap" sheetId="9" r:id="rId9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solid">
        <fgColor rgb="D9EAF7"/>
      </patternFill>
    </fill>
  </fills>
  <borders count="1">
    <border/>
  </borders>
  <cellStyleXfs count="1">
    <xf numFmtId="0" fontId="0" fillId="0" borderId="0"/>
  </cellStyleXfs>
  <cellXfs count="2">
    <xf numFmtId="0" fontId="0" fillId="0" borderId="0"/>
    <xf numFmtId="0" fontId="1" fillId="1" border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A7"/>
  <sheetViews>
    <sheetView workbookViewId="0"/>
  </sheetViews>
  <sheetFormatPr defaultRowHeight="15"/>
  <cols>
    <col min="1" max="1" width="125" customWidth="1"/>
  </cols>
  <sheetData>
    <row r="1">
      <c r="A1" s="1" t="inlineStr">
        <is>
          <t>ANALISA JAM ALAT DAN KEBUTUHAN MATERIAL</t>
        </is>
      </c>
    </row>
    <row r="2">
      <c r="A2" s="0" t="inlineStr">
        <is>
          <t>Basis: rekomendasi ruas pada workbook sumber dan SE-DJBK No. 68/2024 Lampiran IV SDA.</t>
        </is>
      </c>
    </row>
    <row r="3">
      <c r="A3" s="0" t="inlineStr">
        <is>
          <t>Formula produktivitas Bulldozer mengikuti contoh PDF/gambar: q=L x H^2; Ts=(L2x60/VF)+(L2x60/VR)+T3; Q=q x Fb x Fm x Fa x 60/(Ts x 60); koefisien=1/Q.</t>
        </is>
      </c>
    </row>
    <row r="4">
      <c r="A4" s="0" t="inlineStr">
        <is>
          <t>Kode pekerjaan: GRD Grading, RIP Ripping, SPR Spreading, CMP Compacting, DRN Drainase, SUB Perbaikan tanah dasar, BSC Basecourse baru, PTH Patching lubang, SEM Semenisasi.</t>
        </is>
      </c>
    </row>
    <row r="5">
      <c r="A5" s="0" t="inlineStr">
        <is>
          <t>Kode alat: AL-DZR Dozer/Bulldozer, AL-GRD Motor Grader, AL-RLR Roller/Compactor, AL-EXC Excavator, AL-WTR Water Tanker.</t>
        </is>
      </c>
    </row>
    <row r="6">
      <c r="A6" s="0" t="inlineStr">
        <is>
          <t>Sel input pada sheet Asumsi dapat diganti. Semua jam, biaya, dan material pada sheet analisa menggunakan formula antar-sheet.</t>
        </is>
      </c>
    </row>
    <row r="7">
      <c r="A7" s="0" t="inlineStr">
        <is>
          <t>Ruas kondisi baik tanpa rekomendasi tidak dihitung.</t>
        </is>
      </c>
    </row>
  </sheetData>
</worksheet>
</file>

<file path=xl/worksheets/sheet2.xml><?xml version="1.0" encoding="utf-8"?>
<worksheet xmlns="http://schemas.openxmlformats.org/spreadsheetml/2006/main">
  <dimension ref="A1:S52"/>
  <sheetViews>
    <sheetView workbookViewId="0"/>
  </sheetViews>
  <sheetFormatPr defaultRowHeight="15"/>
  <cols>
    <col min="1" max="1" width="25" customWidth="1"/>
    <col min="2" max="2" width="22" customWidth="1"/>
    <col min="3" max="3" width="16" customWidth="1"/>
    <col min="4" max="4" width="12" customWidth="1"/>
    <col min="5" max="5" width="12" customWidth="1"/>
    <col min="6" max="6" width="12" customWidth="1"/>
    <col min="7" max="7" width="10" customWidth="1"/>
    <col min="8" max="8" width="12" customWidth="1"/>
    <col min="9" max="9" width="12" customWidth="1"/>
    <col min="10" max="10" width="14" customWidth="1"/>
    <col min="11" max="11" width="14" customWidth="1"/>
    <col min="12" max="12" width="14" customWidth="1"/>
    <col min="13" max="13" width="12" customWidth="1"/>
    <col min="14" max="14" width="12" customWidth="1"/>
    <col min="15" max="15" width="12" customWidth="1"/>
    <col min="16" max="16" width="14" customWidth="1"/>
    <col min="17" max="17" width="20" customWidth="1"/>
    <col min="18" max="18" width="20" customWidth="1"/>
    <col min="19" max="19" width="18" customWidth="1"/>
  </cols>
  <sheetData>
    <row r="1">
      <c r="A1" s="1" t="inlineStr">
        <is>
          <t>PARAMETER GEOMETRIK DAN MATERIAL</t>
        </is>
      </c>
    </row>
    <row r="2">
      <c r="A2" s="0" t="inlineStr">
        <is>
          <t>Parameter</t>
        </is>
      </c>
      <c r="B2" s="0" t="inlineStr">
        <is>
          <t>Nilai</t>
        </is>
      </c>
      <c r="C2" s="0" t="inlineStr">
        <is>
          <t>Satuan</t>
        </is>
      </c>
      <c r="D2" s="0" t="inlineStr">
        <is>
          <t>Keterangan</t>
        </is>
      </c>
    </row>
    <row r="3">
      <c r="A3" s="0" t="inlineStr">
        <is>
          <t>Lebar jalan JU</t>
        </is>
      </c>
      <c r="B3" s="0" t="n">
        <v>5</v>
      </c>
      <c r="C3" s="0" t="inlineStr">
        <is>
          <t>m</t>
        </is>
      </c>
      <c r="D3" s="0" t="inlineStr">
        <is>
          <t>Input lapangan</t>
        </is>
      </c>
    </row>
    <row r="4">
      <c r="A4" s="0" t="inlineStr">
        <is>
          <t>Lebar jalan JP</t>
        </is>
      </c>
      <c r="B4" s="0" t="n">
        <v>4</v>
      </c>
      <c r="C4" s="0" t="inlineStr">
        <is>
          <t>m</t>
        </is>
      </c>
      <c r="D4" s="0" t="inlineStr">
        <is>
          <t>Input lapangan</t>
        </is>
      </c>
    </row>
    <row r="5">
      <c r="A5" s="0" t="inlineStr">
        <is>
          <t>Tebal olah ripping/compact</t>
        </is>
      </c>
      <c r="B5" s="0" t="n">
        <v>0.15</v>
      </c>
      <c r="C5" s="0" t="inlineStr">
        <is>
          <t>m</t>
        </is>
      </c>
      <c r="D5" s="0" t="inlineStr">
        <is>
          <t>Input spesifikasi</t>
        </is>
      </c>
    </row>
    <row r="6">
      <c r="A6" s="0" t="inlineStr">
        <is>
          <t>Tebal basecourse baru</t>
        </is>
      </c>
      <c r="B6" s="0" t="n">
        <v>0.2</v>
      </c>
      <c r="C6" s="0" t="inlineStr">
        <is>
          <t>m</t>
        </is>
      </c>
      <c r="D6" s="0" t="inlineStr">
        <is>
          <t>Input spesifikasi</t>
        </is>
      </c>
    </row>
    <row r="7">
      <c r="A7" s="0" t="inlineStr">
        <is>
          <t>Lebar efektif drainase</t>
        </is>
      </c>
      <c r="B7" s="0" t="n">
        <v>0.5</v>
      </c>
      <c r="C7" s="0" t="inlineStr">
        <is>
          <t>m</t>
        </is>
      </c>
      <c r="D7" s="0" t="inlineStr">
        <is>
          <t>Asumsi penampang</t>
        </is>
      </c>
    </row>
    <row r="8">
      <c r="A8" s="0" t="inlineStr">
        <is>
          <t>Kedalaman efektif drainase</t>
        </is>
      </c>
      <c r="B8" s="0" t="n">
        <v>0.4</v>
      </c>
      <c r="C8" s="0" t="inlineStr">
        <is>
          <t>m</t>
        </is>
      </c>
      <c r="D8" s="0" t="inlineStr">
        <is>
          <t>Asumsi penampang</t>
        </is>
      </c>
    </row>
    <row r="9">
      <c r="A9" s="0" t="inlineStr">
        <is>
          <t>Air pemadatan</t>
        </is>
      </c>
      <c r="B9" s="0" t="n">
        <v>0.05</v>
      </c>
      <c r="C9" s="0" t="inlineStr">
        <is>
          <t>m3/m3</t>
        </is>
      </c>
      <c r="D9" s="0" t="inlineStr">
        <is>
          <t>Input kadar air</t>
        </is>
      </c>
    </row>
    <row r="10"/>
    <row r="11">
      <c r="A11" s="0" t="inlineStr">
        <is>
          <t>PARAMETER FORMULA BULLDOZER - SE-DJBK 68/2024 LAMPIRAN IV</t>
        </is>
      </c>
    </row>
    <row r="12">
      <c r="A12" s="0" t="inlineStr">
        <is>
          <t>Parameter</t>
        </is>
      </c>
      <c r="B12" s="0" t="inlineStr">
        <is>
          <t>Nilai</t>
        </is>
      </c>
      <c r="C12" s="0" t="inlineStr">
        <is>
          <t>Satuan</t>
        </is>
      </c>
      <c r="D12" s="0" t="inlineStr">
        <is>
          <t>Keterangan</t>
        </is>
      </c>
    </row>
    <row r="13">
      <c r="A13" s="0" t="inlineStr">
        <is>
          <t>Lebar pisau L</t>
        </is>
      </c>
      <c r="B13" s="0" t="n">
        <v>3.175</v>
      </c>
      <c r="C13" s="0" t="inlineStr">
        <is>
          <t>m</t>
        </is>
      </c>
      <c r="D13" s="0" t="inlineStr">
        <is>
          <t>Contoh PDF/gambar</t>
        </is>
      </c>
    </row>
    <row r="14">
      <c r="A14" s="0" t="inlineStr">
        <is>
          <t>Tinggi pisau H</t>
        </is>
      </c>
      <c r="B14" s="0" t="n">
        <v>1.3</v>
      </c>
      <c r="C14" s="0" t="inlineStr">
        <is>
          <t>m</t>
        </is>
      </c>
      <c r="D14" s="0" t="inlineStr">
        <is>
          <t>Contoh PDF/gambar</t>
        </is>
      </c>
    </row>
    <row r="15">
      <c r="A15" s="0" t="inlineStr">
        <is>
          <t>Faktor pisau Fb</t>
        </is>
      </c>
      <c r="B15" s="0" t="n">
        <v>1.0</v>
      </c>
      <c r="C15" s="0" t="inlineStr">
        <is>
          <t>-</t>
        </is>
      </c>
      <c r="D15" s="0" t="inlineStr">
        <is>
          <t>Tabel faktor</t>
        </is>
      </c>
    </row>
    <row r="16">
      <c r="A16" s="0" t="inlineStr">
        <is>
          <t>Faktor kemiringan Fm</t>
        </is>
      </c>
      <c r="B16" s="0" t="n">
        <v>1.0</v>
      </c>
      <c r="C16" s="0" t="inlineStr">
        <is>
          <t>-</t>
        </is>
      </c>
      <c r="D16" s="0" t="inlineStr">
        <is>
          <t>Gambar faktor</t>
        </is>
      </c>
    </row>
    <row r="17">
      <c r="A17" s="0" t="inlineStr">
        <is>
          <t>Faktor efisiensi Fa</t>
        </is>
      </c>
      <c r="B17" s="0" t="n">
        <v>0.83</v>
      </c>
      <c r="C17" s="0" t="inlineStr">
        <is>
          <t>-</t>
        </is>
      </c>
      <c r="D17" s="0" t="inlineStr">
        <is>
          <t>Tabel efisiensi</t>
        </is>
      </c>
    </row>
    <row r="18">
      <c r="A18" s="0" t="inlineStr">
        <is>
          <t>Kecepatan maju VF</t>
        </is>
      </c>
      <c r="B18" s="0" t="n">
        <v>3.4</v>
      </c>
      <c r="C18" s="0" t="inlineStr">
        <is>
          <t>km/jam</t>
        </is>
      </c>
      <c r="D18" s="0" t="inlineStr">
        <is>
          <t>Contoh PDF/gambar</t>
        </is>
      </c>
    </row>
    <row r="19">
      <c r="A19" s="0" t="inlineStr">
        <is>
          <t>Kecepatan mundur VR</t>
        </is>
      </c>
      <c r="B19" s="0" t="n">
        <v>6.97</v>
      </c>
      <c r="C19" s="0" t="inlineStr">
        <is>
          <t>km/jam</t>
        </is>
      </c>
      <c r="D19" s="0" t="inlineStr">
        <is>
          <t>Contoh PDF/gambar</t>
        </is>
      </c>
    </row>
    <row r="20">
      <c r="A20" s="0" t="inlineStr">
        <is>
          <t>Jarak penggusuran L2</t>
        </is>
      </c>
      <c r="B20" s="0" t="n">
        <v>100</v>
      </c>
      <c r="C20" s="0" t="inlineStr">
        <is>
          <t>m</t>
        </is>
      </c>
      <c r="D20" s="0" t="inlineStr">
        <is>
          <t>Contoh PDF/gambar</t>
        </is>
      </c>
    </row>
    <row r="21">
      <c r="A21" s="0" t="inlineStr">
        <is>
          <t>Waktu tetap T3</t>
        </is>
      </c>
      <c r="B21" s="0" t="n">
        <v>0.1</v>
      </c>
      <c r="C21" s="0" t="inlineStr">
        <is>
          <t>menit</t>
        </is>
      </c>
      <c r="D21" s="0" t="inlineStr">
        <is>
          <t>Contoh PDF/gambar</t>
        </is>
      </c>
    </row>
    <row r="22">
      <c r="A22" s="0" t="inlineStr">
        <is>
          <t>Kapasitas pisau q</t>
        </is>
      </c>
      <c r="B22" s="0">
        <f>B13*B14^2</f>
      </c>
      <c r="C22" s="0" t="inlineStr">
        <is>
          <t>m3</t>
        </is>
      </c>
      <c r="D22" s="0" t="inlineStr">
        <is>
          <t>q=L x H^2</t>
        </is>
      </c>
    </row>
    <row r="23">
      <c r="A23" s="0" t="inlineStr">
        <is>
          <t>Waktu gusur T1</t>
        </is>
      </c>
      <c r="B23" s="0">
        <f>B20*60/B18</f>
      </c>
      <c r="C23" s="0" t="inlineStr">
        <is>
          <t>menit</t>
        </is>
      </c>
      <c r="D23" s="0" t="inlineStr">
        <is>
          <t>T1=(L2x60)/VF</t>
        </is>
      </c>
    </row>
    <row r="24">
      <c r="A24" s="0" t="inlineStr">
        <is>
          <t>Waktu kembali T2</t>
        </is>
      </c>
      <c r="B24" s="0">
        <f>B20*60/B19</f>
      </c>
      <c r="C24" s="0" t="inlineStr">
        <is>
          <t>menit</t>
        </is>
      </c>
      <c r="D24" s="0" t="inlineStr">
        <is>
          <t>T2=(L2x60)/VR</t>
        </is>
      </c>
    </row>
    <row r="25">
      <c r="A25" s="0" t="inlineStr">
        <is>
          <t>Waktu siklus Ts</t>
        </is>
      </c>
      <c r="B25" s="0">
        <f>B23+B24+B21</f>
      </c>
      <c r="C25" s="0" t="inlineStr">
        <is>
          <t>menit</t>
        </is>
      </c>
      <c r="D25" s="0" t="inlineStr">
        <is>
          <t>Ts=T1+T2+T3</t>
        </is>
      </c>
    </row>
    <row r="26">
      <c r="A26" s="0" t="inlineStr">
        <is>
          <t>Kapasitas produksi Q</t>
        </is>
      </c>
      <c r="B26" s="0">
        <f>B22*B15*B16*B17*60/B25</f>
      </c>
      <c r="C26" s="0" t="inlineStr">
        <is>
          <t>m3/jam</t>
        </is>
      </c>
      <c r="D26" s="0" t="inlineStr">
        <is>
          <t>Q=q x Fb x Fm x Fa x 60/Ts</t>
        </is>
      </c>
    </row>
    <row r="27">
      <c r="A27" s="0" t="inlineStr">
        <is>
          <t>Koefisien Dozer</t>
        </is>
      </c>
      <c r="B27" s="0">
        <f>1/B26</f>
      </c>
      <c r="C27" s="0" t="inlineStr">
        <is>
          <t>jam/m3</t>
        </is>
      </c>
      <c r="D27" s="0" t="inlineStr">
        <is>
          <t>1/Q</t>
        </is>
      </c>
    </row>
    <row r="28"/>
    <row r="29">
      <c r="A29" s="0" t="inlineStr">
        <is>
          <t>PARAMETER ALAT DAN BIAYA OPERASI</t>
        </is>
      </c>
    </row>
    <row r="30">
      <c r="A30" s="0" t="inlineStr">
        <is>
          <t>Kode alat</t>
        </is>
      </c>
      <c r="B30" s="0" t="inlineStr">
        <is>
          <t>Nama alat</t>
        </is>
      </c>
      <c r="C30" s="0" t="inlineStr">
        <is>
          <t>Harga pokok</t>
        </is>
      </c>
      <c r="D30" s="0" t="inlineStr">
        <is>
          <t>Nilai sisa</t>
        </is>
      </c>
      <c r="E30" s="0" t="inlineStr">
        <is>
          <t>Umur (th)</t>
        </is>
      </c>
      <c r="F30" s="0" t="inlineStr">
        <is>
          <t>Jam/tahun</t>
        </is>
      </c>
      <c r="G30" s="0" t="inlineStr">
        <is>
          <t>Bunga</t>
        </is>
      </c>
      <c r="H30" s="0" t="inlineStr">
        <is>
          <t>Asuransi</t>
        </is>
      </c>
      <c r="I30" s="0" t="inlineStr">
        <is>
          <t>Daya kW</t>
        </is>
      </c>
      <c r="J30" s="0" t="inlineStr">
        <is>
          <t>BBM l/jam</t>
        </is>
      </c>
      <c r="K30" s="0" t="inlineStr">
        <is>
          <t>Harga BBM</t>
        </is>
      </c>
      <c r="L30" s="0" t="inlineStr">
        <is>
          <t>Pelumas/l</t>
        </is>
      </c>
      <c r="M30" s="0" t="inlineStr">
        <is>
          <t>Bengkel</t>
        </is>
      </c>
      <c r="N30" s="0" t="inlineStr">
        <is>
          <t>Perbaikan</t>
        </is>
      </c>
      <c r="O30" s="0" t="inlineStr">
        <is>
          <t>Operator</t>
        </is>
      </c>
      <c r="P30" s="0" t="inlineStr">
        <is>
          <t>Upah/jam</t>
        </is>
      </c>
      <c r="Q30" s="0" t="inlineStr">
        <is>
          <t>Produktivitas m2/jam</t>
        </is>
      </c>
      <c r="R30" s="0" t="inlineStr">
        <is>
          <t>Produktivitas m3/jam</t>
        </is>
      </c>
      <c r="S30" s="0" t="inlineStr">
        <is>
          <t>Biaya alat/jam</t>
        </is>
      </c>
    </row>
    <row r="31">
      <c r="A31" s="0" t="inlineStr">
        <is>
          <t>AL-GRD</t>
        </is>
      </c>
      <c r="B31" s="0" t="inlineStr">
        <is>
          <t>Motor Grader</t>
        </is>
      </c>
      <c r="C31" s="0" t="n">
        <v>1800000000</v>
      </c>
      <c r="D31" s="0" t="n">
        <v>0.1</v>
      </c>
      <c r="E31" s="0" t="n">
        <v>8</v>
      </c>
      <c r="F31" s="0" t="n">
        <v>1600</v>
      </c>
      <c r="G31" s="0" t="n">
        <v>0.1</v>
      </c>
      <c r="H31" s="0" t="n">
        <v>0.02</v>
      </c>
      <c r="I31" s="0" t="n">
        <v>130</v>
      </c>
      <c r="J31" s="0" t="n">
        <v>15</v>
      </c>
      <c r="K31" s="0" t="n">
        <v>15000</v>
      </c>
      <c r="L31" s="0" t="n">
        <v>18000</v>
      </c>
      <c r="M31" s="0" t="n">
        <v>0.025</v>
      </c>
      <c r="N31" s="0" t="n">
        <v>0.075</v>
      </c>
      <c r="O31" s="0" t="n">
        <v>1</v>
      </c>
      <c r="P31" s="0" t="n">
        <v>35000</v>
      </c>
      <c r="Q31" s="0" t="n">
        <v>3000</v>
      </c>
      <c r="R31" s="0" t="n">
        <v>90</v>
      </c>
      <c r="S31" s="0">
        <f>((C31-C31*D31)*(G31*(1+G31)^E31/((1+G31)^E31-1))+C31*H31)/F31+J31*K31+0.003*I31*L31+M31*C31/F31+N31*C31/F31+O31*P31</f>
      </c>
    </row>
    <row r="32">
      <c r="A32" s="0" t="inlineStr">
        <is>
          <t>AL-DZR</t>
        </is>
      </c>
      <c r="B32" s="0" t="inlineStr">
        <is>
          <t>Bulldozer 155 HP</t>
        </is>
      </c>
      <c r="C32" s="0" t="n">
        <v>2500000000</v>
      </c>
      <c r="D32" s="0" t="n">
        <v>0.1</v>
      </c>
      <c r="E32" s="0" t="n">
        <v>8</v>
      </c>
      <c r="F32" s="0" t="n">
        <v>1600</v>
      </c>
      <c r="G32" s="0" t="n">
        <v>0.1</v>
      </c>
      <c r="H32" s="0" t="n">
        <v>0.02</v>
      </c>
      <c r="I32" s="0" t="n">
        <v>150</v>
      </c>
      <c r="J32" s="0" t="n">
        <v>20</v>
      </c>
      <c r="K32" s="0" t="n">
        <v>15000</v>
      </c>
      <c r="L32" s="0" t="n">
        <v>18000</v>
      </c>
      <c r="M32" s="0" t="n">
        <v>0.025</v>
      </c>
      <c r="N32" s="0" t="n">
        <v>0.075</v>
      </c>
      <c r="O32" s="0" t="n">
        <v>1</v>
      </c>
      <c r="P32" s="0" t="n">
        <v>35000</v>
      </c>
      <c r="Q32" s="0" t="n">
        <v>2500</v>
      </c>
      <c r="R32" s="0" t="n">
        <v>110</v>
      </c>
      <c r="S32" s="0">
        <f>((C32-C32*D32)*(G32*(1+G32)^E32/((1+G32)^E32-1))+C32*H32)/F32+J32*K32+0.003*I32*L32+M32*C32/F32+N32*C32/F32+O32*P32</f>
      </c>
    </row>
    <row r="33">
      <c r="A33" s="0" t="inlineStr">
        <is>
          <t>AL-RLR</t>
        </is>
      </c>
      <c r="B33" s="0" t="inlineStr">
        <is>
          <t>Vibro/Tire Roller</t>
        </is>
      </c>
      <c r="C33" s="0" t="n">
        <v>1400000000</v>
      </c>
      <c r="D33" s="0" t="n">
        <v>0.1</v>
      </c>
      <c r="E33" s="0" t="n">
        <v>8</v>
      </c>
      <c r="F33" s="0" t="n">
        <v>1600</v>
      </c>
      <c r="G33" s="0" t="n">
        <v>0.1</v>
      </c>
      <c r="H33" s="0" t="n">
        <v>0.02</v>
      </c>
      <c r="I33" s="0" t="n">
        <v>100</v>
      </c>
      <c r="J33" s="0" t="n">
        <v>12</v>
      </c>
      <c r="K33" s="0" t="n">
        <v>15000</v>
      </c>
      <c r="L33" s="0" t="n">
        <v>18000</v>
      </c>
      <c r="M33" s="0" t="n">
        <v>0.025</v>
      </c>
      <c r="N33" s="0" t="n">
        <v>0.075</v>
      </c>
      <c r="O33" s="0" t="n">
        <v>1</v>
      </c>
      <c r="P33" s="0" t="n">
        <v>35000</v>
      </c>
      <c r="Q33" s="0" t="n">
        <v>2200</v>
      </c>
      <c r="R33" s="0" t="n">
        <v>75</v>
      </c>
      <c r="S33" s="0">
        <f>((C33-C33*D33)*(G33*(1+G33)^E33/((1+G33)^E33-1))+C33*H33)/F33+J33*K33+0.003*I33*L33+M33*C33/F33+N33*C33/F33+O33*P33</f>
      </c>
    </row>
    <row r="34">
      <c r="A34" s="0" t="inlineStr">
        <is>
          <t>AL-EXC</t>
        </is>
      </c>
      <c r="B34" s="0" t="inlineStr">
        <is>
          <t>Excavator</t>
        </is>
      </c>
      <c r="C34" s="0" t="n">
        <v>2200000000</v>
      </c>
      <c r="D34" s="0" t="n">
        <v>0.1</v>
      </c>
      <c r="E34" s="0" t="n">
        <v>8</v>
      </c>
      <c r="F34" s="0" t="n">
        <v>1600</v>
      </c>
      <c r="G34" s="0" t="n">
        <v>0.1</v>
      </c>
      <c r="H34" s="0" t="n">
        <v>0.02</v>
      </c>
      <c r="I34" s="0" t="n">
        <v>120</v>
      </c>
      <c r="J34" s="0" t="n">
        <v>16</v>
      </c>
      <c r="K34" s="0" t="n">
        <v>15000</v>
      </c>
      <c r="L34" s="0" t="n">
        <v>18000</v>
      </c>
      <c r="M34" s="0" t="n">
        <v>0.025</v>
      </c>
      <c r="N34" s="0" t="n">
        <v>0.075</v>
      </c>
      <c r="O34" s="0" t="n">
        <v>1</v>
      </c>
      <c r="P34" s="0" t="n">
        <v>35000</v>
      </c>
      <c r="Q34" s="0" t="n">
        <v>1800</v>
      </c>
      <c r="R34" s="0" t="n">
        <v>60</v>
      </c>
      <c r="S34" s="0">
        <f>((C34-C34*D34)*(G34*(1+G34)^E34/((1+G34)^E34-1))+C34*H34)/F34+J34*K34+0.003*I34*L34+M34*C34/F34+N34*C34/F34+O34*P34</f>
      </c>
    </row>
    <row r="35">
      <c r="A35" s="0" t="inlineStr">
        <is>
          <t>AL-WTR</t>
        </is>
      </c>
      <c r="B35" s="0" t="inlineStr">
        <is>
          <t>Water Tanker</t>
        </is>
      </c>
      <c r="C35" s="0" t="n">
        <v>900000000</v>
      </c>
      <c r="D35" s="0" t="n">
        <v>0.1</v>
      </c>
      <c r="E35" s="0" t="n">
        <v>8</v>
      </c>
      <c r="F35" s="0" t="n">
        <v>1600</v>
      </c>
      <c r="G35" s="0" t="n">
        <v>0.1</v>
      </c>
      <c r="H35" s="0" t="n">
        <v>0.02</v>
      </c>
      <c r="I35" s="0" t="n">
        <v>100</v>
      </c>
      <c r="J35" s="0" t="n">
        <v>10</v>
      </c>
      <c r="K35" s="0" t="n">
        <v>15000</v>
      </c>
      <c r="L35" s="0" t="n">
        <v>18000</v>
      </c>
      <c r="M35" s="0" t="n">
        <v>0.025</v>
      </c>
      <c r="N35" s="0" t="n">
        <v>0.075</v>
      </c>
      <c r="O35" s="0" t="n">
        <v>1</v>
      </c>
      <c r="P35" s="0" t="n">
        <v>35000</v>
      </c>
      <c r="Q35" s="0" t="n">
        <v>2000</v>
      </c>
      <c r="R35" s="0" t="n">
        <v>50</v>
      </c>
      <c r="S35" s="0">
        <f>((C35-C35*D35)*(G35*(1+G35)^E35/((1+G35)^E35-1))+C35*H35)/F35+J35*K35+0.003*I35*L35+M35*C35/F35+N35*C35/F35+O35*P35</f>
      </c>
    </row>
    <row r="36"/>
    <row r="37">
      <c r="A37" s="0" t="inlineStr">
        <is>
          <t>PARAMETER PRODUKTIVITAS PEKERJAAN - SE-DJBK 68/2024</t>
        </is>
      </c>
    </row>
    <row r="38">
      <c r="A38" s="0" t="inlineStr">
        <is>
          <t>Parameter</t>
        </is>
      </c>
      <c r="B38" s="0" t="inlineStr">
        <is>
          <t>Nilai</t>
        </is>
      </c>
      <c r="C38" s="0" t="inlineStr">
        <is>
          <t>Satuan</t>
        </is>
      </c>
      <c r="D38" s="0" t="inlineStr">
        <is>
          <t>Keterangan</t>
        </is>
      </c>
    </row>
    <row r="39">
      <c r="A39" s="0" t="inlineStr">
        <is>
          <t>Lebar kerja grader</t>
        </is>
      </c>
      <c r="B39" s="0" t="n">
        <v>3.7</v>
      </c>
      <c r="C39" s="0" t="inlineStr">
        <is>
          <t>m</t>
        </is>
      </c>
      <c r="D39" s="0" t="inlineStr">
        <is>
          <t>Lebar efektif lintasan</t>
        </is>
      </c>
    </row>
    <row r="40">
      <c r="A40" s="0" t="inlineStr">
        <is>
          <t>Kecepatan kerja grader</t>
        </is>
      </c>
      <c r="B40" s="0" t="n">
        <v>4.0</v>
      </c>
      <c r="C40" s="0" t="inlineStr">
        <is>
          <t>km/jam</t>
        </is>
      </c>
      <c r="D40" s="0" t="inlineStr">
        <is>
          <t>Kecepatan kerja efektif</t>
        </is>
      </c>
    </row>
    <row r="41">
      <c r="A41" s="0" t="inlineStr">
        <is>
          <t>Efisiensi grader</t>
        </is>
      </c>
      <c r="B41" s="0" t="n">
        <v>0.75</v>
      </c>
      <c r="C41" s="0" t="inlineStr">
        <is>
          <t>-</t>
        </is>
      </c>
      <c r="D41" s="0" t="inlineStr">
        <is>
          <t>Faktor efisiensi kerja</t>
        </is>
      </c>
    </row>
    <row r="42">
      <c r="A42" s="0" t="inlineStr">
        <is>
          <t>Lintasan roller</t>
        </is>
      </c>
      <c r="B42" s="0" t="n">
        <v>6</v>
      </c>
      <c r="C42" s="0" t="inlineStr">
        <is>
          <t>lintasan</t>
        </is>
      </c>
      <c r="D42" s="0" t="inlineStr">
        <is>
          <t>Lintasan pemadatan</t>
        </is>
      </c>
    </row>
    <row r="43">
      <c r="A43" s="0" t="inlineStr">
        <is>
          <t>Lebar efektif roller</t>
        </is>
      </c>
      <c r="B43" s="0" t="n">
        <v>2.1</v>
      </c>
      <c r="C43" s="0" t="inlineStr">
        <is>
          <t>m</t>
        </is>
      </c>
      <c r="D43" s="0" t="inlineStr">
        <is>
          <t>Lebar drum efektif</t>
        </is>
      </c>
    </row>
    <row r="44">
      <c r="A44" s="0" t="inlineStr">
        <is>
          <t>Kecepatan roller</t>
        </is>
      </c>
      <c r="B44" s="0" t="n">
        <v>3.0</v>
      </c>
      <c r="C44" s="0" t="inlineStr">
        <is>
          <t>km/jam</t>
        </is>
      </c>
      <c r="D44" s="0" t="inlineStr">
        <is>
          <t>Kecepatan pemadatan</t>
        </is>
      </c>
    </row>
    <row r="45">
      <c r="A45" s="0" t="inlineStr">
        <is>
          <t>Efisiensi roller</t>
        </is>
      </c>
      <c r="B45" s="0" t="n">
        <v>0.8</v>
      </c>
      <c r="C45" s="0" t="inlineStr">
        <is>
          <t>-</t>
        </is>
      </c>
      <c r="D45" s="0" t="inlineStr">
        <is>
          <t>Faktor efisiensi kerja</t>
        </is>
      </c>
    </row>
    <row r="46">
      <c r="A46" s="0" t="inlineStr">
        <is>
          <t>Kapasitas bucket excavator</t>
        </is>
      </c>
      <c r="B46" s="0" t="n">
        <v>0.8</v>
      </c>
      <c r="C46" s="0" t="inlineStr">
        <is>
          <t>m3</t>
        </is>
      </c>
      <c r="D46" s="0" t="inlineStr">
        <is>
          <t>Kapasitas bucket</t>
        </is>
      </c>
    </row>
    <row r="47">
      <c r="A47" s="0" t="inlineStr">
        <is>
          <t>Faktor isi bucket</t>
        </is>
      </c>
      <c r="B47" s="0" t="n">
        <v>0.85</v>
      </c>
      <c r="C47" s="0" t="inlineStr">
        <is>
          <t>-</t>
        </is>
      </c>
      <c r="D47" s="0" t="inlineStr">
        <is>
          <t>Faktor isi material</t>
        </is>
      </c>
    </row>
    <row r="48">
      <c r="A48" s="0" t="inlineStr">
        <is>
          <t>Efisiensi excavator</t>
        </is>
      </c>
      <c r="B48" s="0" t="n">
        <v>0.83</v>
      </c>
      <c r="C48" s="0" t="inlineStr">
        <is>
          <t>-</t>
        </is>
      </c>
      <c r="D48" s="0" t="inlineStr">
        <is>
          <t>Faktor efisiensi kerja</t>
        </is>
      </c>
    </row>
    <row r="49">
      <c r="A49" s="0" t="inlineStr">
        <is>
          <t>Waktu siklus excavator</t>
        </is>
      </c>
      <c r="B49" s="0" t="n">
        <v>0.5</v>
      </c>
      <c r="C49" s="0" t="inlineStr">
        <is>
          <t>menit</t>
        </is>
      </c>
      <c r="D49" s="0" t="inlineStr">
        <is>
          <t>Waktu gali-muat-buang</t>
        </is>
      </c>
    </row>
    <row r="50">
      <c r="A50" s="0" t="inlineStr">
        <is>
          <t>Koefisien semen semenisasi</t>
        </is>
      </c>
      <c r="B50" s="0" t="n">
        <v>0.35</v>
      </c>
      <c r="C50" s="0" t="inlineStr">
        <is>
          <t>zak/m2</t>
        </is>
      </c>
      <c r="D50" s="0" t="inlineStr">
        <is>
          <t>Input spesifikasi pekerjaan</t>
        </is>
      </c>
    </row>
    <row r="51">
      <c r="A51" s="0" t="inlineStr">
        <is>
          <t>Koefisien pasir semenisasi</t>
        </is>
      </c>
      <c r="B51" s="0" t="n">
        <v>0.06</v>
      </c>
      <c r="C51" s="0" t="inlineStr">
        <is>
          <t>m3/m2</t>
        </is>
      </c>
      <c r="D51" s="0" t="inlineStr">
        <is>
          <t>Input spesifikasi pekerjaan</t>
        </is>
      </c>
    </row>
    <row r="52">
      <c r="A52" s="0" t="inlineStr">
        <is>
          <t>Koefisien air semenisasi</t>
        </is>
      </c>
      <c r="B52" s="0" t="n">
        <v>0.015</v>
      </c>
      <c r="C52" s="0" t="inlineStr">
        <is>
          <t>m3/m2</t>
        </is>
      </c>
      <c r="D52" s="0" t="inlineStr">
        <is>
          <t>Input spesifikasi pekerjaan</t>
        </is>
      </c>
    </row>
  </sheetData>
</worksheet>
</file>

<file path=xl/worksheets/sheet3.xml><?xml version="1.0" encoding="utf-8"?>
<worksheet xmlns="http://schemas.openxmlformats.org/spreadsheetml/2006/main">
  <dimension ref="A1:E10"/>
  <sheetViews>
    <sheetView workbookViewId="0"/>
  </sheetViews>
  <sheetFormatPr defaultRowHeight="15"/>
  <cols>
    <col min="1" max="1" width="12" customWidth="1"/>
    <col min="2" max="2" width="28" customWidth="1"/>
    <col min="3" max="3" width="10" customWidth="1"/>
    <col min="4" max="4" width="14" customWidth="1"/>
    <col min="5" max="5" width="24" customWidth="1"/>
  </cols>
  <sheetData>
    <row r="1">
      <c r="A1" s="1" t="inlineStr">
        <is>
          <t>Kode</t>
        </is>
      </c>
      <c r="B1" s="1" t="inlineStr">
        <is>
          <t>Jenis pekerjaan</t>
        </is>
      </c>
      <c r="C1" s="1" t="inlineStr">
        <is>
          <t>Satuan</t>
        </is>
      </c>
      <c r="D1" s="1" t="inlineStr">
        <is>
          <t>Alat utama</t>
        </is>
      </c>
      <c r="E1" s="1" t="inlineStr">
        <is>
          <t>Dasar produktivitas</t>
        </is>
      </c>
    </row>
    <row r="2">
      <c r="A2" s="0" t="inlineStr">
        <is>
          <t>GRD</t>
        </is>
      </c>
      <c r="B2" s="0" t="inlineStr">
        <is>
          <t>Grading/perataan</t>
        </is>
      </c>
      <c r="C2" s="0" t="inlineStr">
        <is>
          <t>m2</t>
        </is>
      </c>
      <c r="D2" s="0" t="inlineStr">
        <is>
          <t>AL-GRD</t>
        </is>
      </c>
      <c r="E2" s="0" t="inlineStr">
        <is>
          <t>Produktivitas grader</t>
        </is>
      </c>
    </row>
    <row r="3">
      <c r="A3" s="0" t="inlineStr">
        <is>
          <t>RIP</t>
        </is>
      </c>
      <c r="B3" s="0" t="inlineStr">
        <is>
          <t>Ripping/penggemburan</t>
        </is>
      </c>
      <c r="C3" s="0" t="inlineStr">
        <is>
          <t>m3</t>
        </is>
      </c>
      <c r="D3" s="0" t="inlineStr">
        <is>
          <t>AL-DZR</t>
        </is>
      </c>
      <c r="E3" s="0" t="inlineStr">
        <is>
          <t>Produktivitas dozer</t>
        </is>
      </c>
    </row>
    <row r="4">
      <c r="A4" s="0" t="inlineStr">
        <is>
          <t>SPR</t>
        </is>
      </c>
      <c r="B4" s="0" t="inlineStr">
        <is>
          <t>Spreading/penyebaran</t>
        </is>
      </c>
      <c r="C4" s="0" t="inlineStr">
        <is>
          <t>m3</t>
        </is>
      </c>
      <c r="D4" s="0" t="inlineStr">
        <is>
          <t>AL-DZR</t>
        </is>
      </c>
      <c r="E4" s="0" t="inlineStr">
        <is>
          <t>Produktivitas dozer</t>
        </is>
      </c>
    </row>
    <row r="5">
      <c r="A5" s="0" t="inlineStr">
        <is>
          <t>CMP</t>
        </is>
      </c>
      <c r="B5" s="0" t="inlineStr">
        <is>
          <t>Compacting/pemadatan</t>
        </is>
      </c>
      <c r="C5" s="0" t="inlineStr">
        <is>
          <t>m3</t>
        </is>
      </c>
      <c r="D5" s="0" t="inlineStr">
        <is>
          <t>AL-RLR</t>
        </is>
      </c>
      <c r="E5" s="0" t="inlineStr">
        <is>
          <t>Produktivitas roller</t>
        </is>
      </c>
    </row>
    <row r="6">
      <c r="A6" s="0" t="inlineStr">
        <is>
          <t>DRN</t>
        </is>
      </c>
      <c r="B6" s="0" t="inlineStr">
        <is>
          <t>Drainase/galian</t>
        </is>
      </c>
      <c r="C6" s="0" t="inlineStr">
        <is>
          <t>m3</t>
        </is>
      </c>
      <c r="D6" s="0" t="inlineStr">
        <is>
          <t>AL-EXC</t>
        </is>
      </c>
      <c r="E6" s="0" t="inlineStr">
        <is>
          <t>Produktivitas excavator</t>
        </is>
      </c>
    </row>
    <row r="7">
      <c r="A7" s="0" t="inlineStr">
        <is>
          <t>SUB</t>
        </is>
      </c>
      <c r="B7" s="0" t="inlineStr">
        <is>
          <t>Perbaikan tanah dasar</t>
        </is>
      </c>
      <c r="C7" s="0" t="inlineStr">
        <is>
          <t>m3</t>
        </is>
      </c>
      <c r="D7" s="0" t="inlineStr">
        <is>
          <t>AL-EXC</t>
        </is>
      </c>
      <c r="E7" s="0" t="inlineStr">
        <is>
          <t>Produktivitas excavator</t>
        </is>
      </c>
    </row>
    <row r="8">
      <c r="A8" s="0" t="inlineStr">
        <is>
          <t>BSC</t>
        </is>
      </c>
      <c r="B8" s="0" t="inlineStr">
        <is>
          <t>Basecourse baru</t>
        </is>
      </c>
      <c r="C8" s="0" t="inlineStr">
        <is>
          <t>m3</t>
        </is>
      </c>
      <c r="D8" s="0" t="inlineStr">
        <is>
          <t>AL-DZR</t>
        </is>
      </c>
      <c r="E8" s="0" t="inlineStr">
        <is>
          <t>Produktivitas dozer</t>
        </is>
      </c>
    </row>
    <row r="9">
      <c r="A9" s="0" t="inlineStr">
        <is>
          <t>PTH</t>
        </is>
      </c>
      <c r="B9" s="0" t="inlineStr">
        <is>
          <t>Patching lubang</t>
        </is>
      </c>
      <c r="C9" s="0" t="inlineStr">
        <is>
          <t>m3</t>
        </is>
      </c>
      <c r="D9" s="0" t="inlineStr">
        <is>
          <t>AL-EXC</t>
        </is>
      </c>
      <c r="E9" s="0" t="inlineStr">
        <is>
          <t>Produktivitas excavator</t>
        </is>
      </c>
    </row>
    <row r="10">
      <c r="A10" s="0" t="inlineStr">
        <is>
          <t>SEM</t>
        </is>
      </c>
      <c r="B10" s="0" t="inlineStr">
        <is>
          <t>Semenisasi</t>
        </is>
      </c>
      <c r="C10" s="0" t="inlineStr">
        <is>
          <t>m2</t>
        </is>
      </c>
      <c r="D10" s="0" t="inlineStr">
        <is>
          <t>MAN</t>
        </is>
      </c>
      <c r="E10" s="0" t="inlineStr">
        <is>
          <t>Pekerjaan manual; alat berat tidak dihitung</t>
        </is>
      </c>
    </row>
  </sheetData>
</worksheet>
</file>

<file path=xl/worksheets/sheet4.xml><?xml version="1.0" encoding="utf-8"?>
<worksheet xmlns="http://schemas.openxmlformats.org/spreadsheetml/2006/main">
  <dimension ref="A1:C6"/>
  <sheetViews>
    <sheetView workbookViewId="0"/>
  </sheetViews>
  <sheetFormatPr defaultRowHeight="15"/>
  <cols>
    <col min="1" max="1" width="15" customWidth="1"/>
    <col min="2" max="2" width="24" customWidth="1"/>
    <col min="3" max="3" width="42" customWidth="1"/>
  </cols>
  <sheetData>
    <row r="1">
      <c r="A1" s="1" t="inlineStr">
        <is>
          <t>Kode alat</t>
        </is>
      </c>
      <c r="B1" s="1" t="inlineStr">
        <is>
          <t>Nama alat</t>
        </is>
      </c>
      <c r="C1" s="1" t="inlineStr">
        <is>
          <t>Keterangan</t>
        </is>
      </c>
    </row>
    <row r="2">
      <c r="A2" s="0" t="inlineStr">
        <is>
          <t>AL-DZR</t>
        </is>
      </c>
      <c r="B2" s="0" t="inlineStr">
        <is>
          <t>Bulldozer 155 HP</t>
        </is>
      </c>
      <c r="C2" s="0" t="inlineStr">
        <is>
          <t>Ripping, spreading, basecourse</t>
        </is>
      </c>
    </row>
    <row r="3">
      <c r="A3" s="0" t="inlineStr">
        <is>
          <t>AL-GRD</t>
        </is>
      </c>
      <c r="B3" s="0" t="inlineStr">
        <is>
          <t>Motor Grader</t>
        </is>
      </c>
      <c r="C3" s="0" t="inlineStr">
        <is>
          <t>Grading</t>
        </is>
      </c>
    </row>
    <row r="4">
      <c r="A4" s="0" t="inlineStr">
        <is>
          <t>AL-RLR</t>
        </is>
      </c>
      <c r="B4" s="0" t="inlineStr">
        <is>
          <t>Vibro/Tire Roller</t>
        </is>
      </c>
      <c r="C4" s="0" t="inlineStr">
        <is>
          <t>Compacting</t>
        </is>
      </c>
    </row>
    <row r="5">
      <c r="A5" s="0" t="inlineStr">
        <is>
          <t>AL-EXC</t>
        </is>
      </c>
      <c r="B5" s="0" t="inlineStr">
        <is>
          <t>Excavator</t>
        </is>
      </c>
      <c r="C5" s="0" t="inlineStr">
        <is>
          <t>Drainase dan tanah dasar</t>
        </is>
      </c>
    </row>
    <row r="6">
      <c r="A6" s="0" t="inlineStr">
        <is>
          <t>AL-WTR</t>
        </is>
      </c>
      <c r="B6" s="0" t="inlineStr">
        <is>
          <t>Water Tanker</t>
        </is>
      </c>
      <c r="C6" s="0" t="inlineStr">
        <is>
          <t>Air pemadatan</t>
        </is>
      </c>
    </row>
  </sheetData>
</worksheet>
</file>

<file path=xl/worksheets/sheet5.xml><?xml version="1.0" encoding="utf-8"?>
<worksheet xmlns="http://schemas.openxmlformats.org/spreadsheetml/2006/main">
  <dimension ref="A1:P74"/>
  <sheetViews>
    <sheetView workbookViewId="0"/>
  </sheetViews>
  <sheetFormatPr defaultRowHeight="15"/>
  <cols>
    <col min="1" max="1" width="8" customWidth="1"/>
    <col min="2" max="2" width="12" customWidth="1"/>
    <col min="3" max="3" width="16" customWidth="1"/>
    <col min="4" max="4" width="12" customWidth="1"/>
    <col min="5" max="5" width="12" customWidth="1"/>
    <col min="6" max="6" width="10" customWidth="1"/>
    <col min="7" max="7" width="24" customWidth="1"/>
    <col min="8" max="8" width="70" customWidth="1"/>
    <col min="9" max="9" width="14" customWidth="1"/>
    <col min="10" max="10" width="12" customWidth="1"/>
    <col min="11" max="11" width="14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>No</t>
        </is>
      </c>
      <c r="B1" s="1" t="inlineStr">
        <is>
          <t>Afdeling</t>
        </is>
      </c>
      <c r="C1" s="1" t="inlineStr">
        <is>
          <t>Kondisi</t>
        </is>
      </c>
      <c r="D1" s="1" t="inlineStr">
        <is>
          <t>Titik Kode</t>
        </is>
      </c>
      <c r="E1" s="1" t="inlineStr">
        <is>
          <t>Jenis Jalan</t>
        </is>
      </c>
      <c r="F1" s="1" t="inlineStr">
        <is>
          <t>Blok</t>
        </is>
      </c>
      <c r="G1" s="1" t="inlineStr">
        <is>
          <t>Jenis Kerusakan</t>
        </is>
      </c>
      <c r="H1" s="1" t="inlineStr">
        <is>
          <t>Rekomendasi</t>
        </is>
      </c>
      <c r="I1" s="1" t="inlineStr">
        <is>
          <t>Panjang m</t>
        </is>
      </c>
      <c r="J1" s="1" t="inlineStr">
        <is>
          <t>Lebar m</t>
        </is>
      </c>
      <c r="K1" s="1" t="inlineStr">
        <is>
          <t>Luas m2</t>
        </is>
      </c>
      <c r="L1" s="1" t="inlineStr">
        <is>
          <t>WS</t>
        </is>
      </c>
      <c r="M1" s="1" t="inlineStr">
        <is>
          <t>LM</t>
        </is>
      </c>
      <c r="N1" s="1" t="inlineStr">
        <is>
          <t>CR</t>
        </is>
      </c>
      <c r="O1" s="1" t="inlineStr">
        <is>
          <t>UN</t>
        </is>
      </c>
      <c r="P1" s="1" t="inlineStr">
        <is>
          <t>PH</t>
        </is>
      </c>
    </row>
    <row r="2">
      <c r="A2" s="0" t="inlineStr">
        <is>
          <t>1</t>
        </is>
      </c>
      <c r="B2" s="0" t="inlineStr">
        <is>
          <t>AFD 1</t>
        </is>
      </c>
      <c r="C2" s="0" t="inlineStr">
        <is>
          <t>RUSAK SEDANG</t>
        </is>
      </c>
      <c r="D2" s="0" t="inlineStr">
        <is>
          <t>RS 1</t>
        </is>
      </c>
      <c r="E2" s="0" t="inlineStr">
        <is>
          <t>JU</t>
        </is>
      </c>
      <c r="F2" s="0" t="inlineStr">
        <is>
          <t>A11</t>
        </is>
      </c>
      <c r="G2" s="0" t="inlineStr">
        <is>
          <t>LM30%, CR 70%</t>
        </is>
      </c>
      <c r="H2" s="0" t="inlineStr">
        <is>
          <t>RIPPING + SPREADING + COMPACTING + GRADING</t>
        </is>
      </c>
      <c r="I2" s="0" t="n">
        <v>680.0</v>
      </c>
      <c r="J2" s="0">
        <f>IF(E2="JU",Asumsi!$B$3,Asumsi!$B$4)</f>
      </c>
      <c r="K2" s="0">
        <f>I2*J2</f>
      </c>
      <c r="L2" s="0" t="n">
        <v>0</v>
      </c>
      <c r="M2" s="0" t="n">
        <v>0.3</v>
      </c>
      <c r="N2" s="0" t="n">
        <v>0.7</v>
      </c>
      <c r="O2" s="0" t="n">
        <v>0</v>
      </c>
      <c r="P2" s="0" t="n">
        <v>0</v>
      </c>
    </row>
    <row r="3">
      <c r="A3" s="0" t="inlineStr">
        <is>
          <t>2</t>
        </is>
      </c>
      <c r="B3" s="0" t="inlineStr">
        <is>
          <t>AFD 1</t>
        </is>
      </c>
      <c r="C3" s="0" t="inlineStr">
        <is>
          <t>RUSAK SEDANG</t>
        </is>
      </c>
      <c r="D3" s="0" t="inlineStr">
        <is>
          <t>RS 2</t>
        </is>
      </c>
      <c r="E3" s="0" t="inlineStr">
        <is>
          <t>JP</t>
        </is>
      </c>
      <c r="F3" s="0" t="inlineStr">
        <is>
          <t>A13</t>
        </is>
      </c>
      <c r="G3" s="0" t="inlineStr">
        <is>
          <t>WS10%, LM40%, CR50%</t>
        </is>
      </c>
      <c r="H3" s="0" t="inlineStr">
        <is>
          <t>GRADING + DRAINASE + RIPPING + SPREADING + COMPACTING</t>
        </is>
      </c>
      <c r="I3" s="0" t="n">
        <v>547.0</v>
      </c>
      <c r="J3" s="0">
        <f>IF(E3="JU",Asumsi!$B$3,Asumsi!$B$4)</f>
      </c>
      <c r="K3" s="0">
        <f>I3*J3</f>
      </c>
      <c r="L3" s="0" t="n">
        <v>0.1</v>
      </c>
      <c r="M3" s="0" t="n">
        <v>0.4</v>
      </c>
      <c r="N3" s="0" t="n">
        <v>0.5</v>
      </c>
      <c r="O3" s="0" t="n">
        <v>0</v>
      </c>
      <c r="P3" s="0" t="n">
        <v>0</v>
      </c>
    </row>
    <row r="4">
      <c r="A4" s="0" t="inlineStr">
        <is>
          <t>3</t>
        </is>
      </c>
      <c r="B4" s="0" t="inlineStr">
        <is>
          <t>AFD 1</t>
        </is>
      </c>
      <c r="C4" s="0" t="inlineStr">
        <is>
          <t>RUSAK SEDANG</t>
        </is>
      </c>
      <c r="D4" s="0" t="inlineStr">
        <is>
          <t>RS 3</t>
        </is>
      </c>
      <c r="E4" s="0" t="inlineStr">
        <is>
          <t>JP</t>
        </is>
      </c>
      <c r="F4" s="0" t="inlineStr">
        <is>
          <t>A28</t>
        </is>
      </c>
      <c r="G4" s="0" t="inlineStr">
        <is>
          <t>WS20%, CR80%</t>
        </is>
      </c>
      <c r="H4" s="0" t="inlineStr">
        <is>
          <t>GRADING + DRAINASE + COMPACTING</t>
        </is>
      </c>
      <c r="I4" s="0" t="n">
        <v>458.0</v>
      </c>
      <c r="J4" s="0">
        <f>IF(E4="JU",Asumsi!$B$3,Asumsi!$B$4)</f>
      </c>
      <c r="K4" s="0">
        <f>I4*J4</f>
      </c>
      <c r="L4" s="0" t="n">
        <v>0.2</v>
      </c>
      <c r="M4" s="0" t="n">
        <v>0</v>
      </c>
      <c r="N4" s="0" t="n">
        <v>0.8</v>
      </c>
      <c r="O4" s="0" t="n">
        <v>0</v>
      </c>
      <c r="P4" s="0" t="n">
        <v>0</v>
      </c>
    </row>
    <row r="5">
      <c r="A5" s="0" t="inlineStr">
        <is>
          <t>4</t>
        </is>
      </c>
      <c r="B5" s="0" t="inlineStr">
        <is>
          <t>AFD 1</t>
        </is>
      </c>
      <c r="C5" s="0" t="inlineStr">
        <is>
          <t>RUSAK SEDANG</t>
        </is>
      </c>
      <c r="D5" s="0" t="inlineStr">
        <is>
          <t>RS 4</t>
        </is>
      </c>
      <c r="E5" s="0" t="inlineStr">
        <is>
          <t>JP</t>
        </is>
      </c>
      <c r="F5" s="0" t="inlineStr">
        <is>
          <t>A19</t>
        </is>
      </c>
      <c r="G5" s="0" t="inlineStr">
        <is>
          <t>LM40%, CR60%</t>
        </is>
      </c>
      <c r="H5" s="0" t="inlineStr">
        <is>
          <t>RIPPING + SPREADING + COMPACTING + GRADING</t>
        </is>
      </c>
      <c r="I5" s="0" t="n">
        <v>650.0</v>
      </c>
      <c r="J5" s="0">
        <f>IF(E5="JU",Asumsi!$B$3,Asumsi!$B$4)</f>
      </c>
      <c r="K5" s="0">
        <f>I5*J5</f>
      </c>
      <c r="L5" s="0" t="n">
        <v>0</v>
      </c>
      <c r="M5" s="0" t="n">
        <v>0.4</v>
      </c>
      <c r="N5" s="0" t="n">
        <v>0.6</v>
      </c>
      <c r="O5" s="0" t="n">
        <v>0</v>
      </c>
      <c r="P5" s="0" t="n">
        <v>0</v>
      </c>
    </row>
    <row r="6">
      <c r="A6" s="0" t="inlineStr">
        <is>
          <t>5</t>
        </is>
      </c>
      <c r="B6" s="0" t="inlineStr">
        <is>
          <t>AFD 1</t>
        </is>
      </c>
      <c r="C6" s="0" t="inlineStr">
        <is>
          <t>RUSAK SEDANG</t>
        </is>
      </c>
      <c r="D6" s="0" t="inlineStr">
        <is>
          <t>RS 5</t>
        </is>
      </c>
      <c r="E6" s="0" t="inlineStr">
        <is>
          <t>JP</t>
        </is>
      </c>
      <c r="F6" s="0" t="inlineStr">
        <is>
          <t>A20</t>
        </is>
      </c>
      <c r="G6" s="0" t="inlineStr">
        <is>
          <t>WS10%, CR90%</t>
        </is>
      </c>
      <c r="H6" s="0" t="inlineStr">
        <is>
          <t>GRADING + DRAINASE + COMPACTING</t>
        </is>
      </c>
      <c r="I6" s="0" t="n">
        <v>415.0</v>
      </c>
      <c r="J6" s="0">
        <f>IF(E6="JU",Asumsi!$B$3,Asumsi!$B$4)</f>
      </c>
      <c r="K6" s="0">
        <f>I6*J6</f>
      </c>
      <c r="L6" s="0" t="n">
        <v>0.1</v>
      </c>
      <c r="M6" s="0" t="n">
        <v>0</v>
      </c>
      <c r="N6" s="0" t="n">
        <v>0.9</v>
      </c>
      <c r="O6" s="0" t="n">
        <v>0</v>
      </c>
      <c r="P6" s="0" t="n">
        <v>0</v>
      </c>
    </row>
    <row r="7">
      <c r="A7" s="0" t="inlineStr">
        <is>
          <t>6</t>
        </is>
      </c>
      <c r="B7" s="0" t="inlineStr">
        <is>
          <t>AFD 1</t>
        </is>
      </c>
      <c r="C7" s="0" t="inlineStr">
        <is>
          <t>RUSAK SEDANG</t>
        </is>
      </c>
      <c r="D7" s="0" t="inlineStr">
        <is>
          <t>RS 6</t>
        </is>
      </c>
      <c r="E7" s="0" t="inlineStr">
        <is>
          <t>JP</t>
        </is>
      </c>
      <c r="F7" s="0" t="inlineStr">
        <is>
          <t>A30</t>
        </is>
      </c>
      <c r="G7" s="0" t="inlineStr">
        <is>
          <t>LM30%, CR 70%</t>
        </is>
      </c>
      <c r="H7" s="0" t="inlineStr">
        <is>
          <t>RIPPING + SPREADING + COMPACTING + GRADING</t>
        </is>
      </c>
      <c r="I7" s="0" t="n">
        <v>529.0</v>
      </c>
      <c r="J7" s="0">
        <f>IF(E7="JU",Asumsi!$B$3,Asumsi!$B$4)</f>
      </c>
      <c r="K7" s="0">
        <f>I7*J7</f>
      </c>
      <c r="L7" s="0" t="n">
        <v>0</v>
      </c>
      <c r="M7" s="0" t="n">
        <v>0.3</v>
      </c>
      <c r="N7" s="0" t="n">
        <v>0.7</v>
      </c>
      <c r="O7" s="0" t="n">
        <v>0</v>
      </c>
      <c r="P7" s="0" t="n">
        <v>0</v>
      </c>
    </row>
    <row r="8">
      <c r="A8" s="0" t="inlineStr">
        <is>
          <t>27</t>
        </is>
      </c>
      <c r="B8" s="0" t="inlineStr">
        <is>
          <t>AFD 1</t>
        </is>
      </c>
      <c r="C8" s="0" t="inlineStr">
        <is>
          <t>RUSAK SEDANG</t>
        </is>
      </c>
      <c r="D8" s="0" t="inlineStr">
        <is>
          <t>RS 27</t>
        </is>
      </c>
      <c r="E8" s="0" t="inlineStr">
        <is>
          <t>JP</t>
        </is>
      </c>
      <c r="F8" s="0" t="inlineStr">
        <is>
          <t>A16</t>
        </is>
      </c>
      <c r="G8" s="0" t="inlineStr">
        <is>
          <t>LM30%, CR 70%</t>
        </is>
      </c>
      <c r="H8" s="0" t="inlineStr">
        <is>
          <t>RIPPING + SPREADING + COMPACTING + GRADING</t>
        </is>
      </c>
      <c r="I8" s="0" t="n">
        <v>923.0</v>
      </c>
      <c r="J8" s="0">
        <f>IF(E8="JU",Asumsi!$B$3,Asumsi!$B$4)</f>
      </c>
      <c r="K8" s="0">
        <f>I8*J8</f>
      </c>
      <c r="L8" s="0" t="n">
        <v>0</v>
      </c>
      <c r="M8" s="0" t="n">
        <v>0.3</v>
      </c>
      <c r="N8" s="0" t="n">
        <v>0.7</v>
      </c>
      <c r="O8" s="0" t="n">
        <v>0</v>
      </c>
      <c r="P8" s="0" t="n">
        <v>0</v>
      </c>
    </row>
    <row r="9">
      <c r="A9" s="0" t="inlineStr">
        <is>
          <t>28</t>
        </is>
      </c>
      <c r="B9" s="0" t="inlineStr">
        <is>
          <t>AFD 1</t>
        </is>
      </c>
      <c r="C9" s="0" t="inlineStr">
        <is>
          <t>RUSAK SEDANG</t>
        </is>
      </c>
      <c r="D9" s="0" t="inlineStr">
        <is>
          <t>RS 28</t>
        </is>
      </c>
      <c r="E9" s="0" t="inlineStr">
        <is>
          <t>JP</t>
        </is>
      </c>
      <c r="F9" s="0" t="inlineStr">
        <is>
          <t>A26</t>
        </is>
      </c>
      <c r="G9" s="0" t="inlineStr">
        <is>
          <t>PH5%, CR80%, WS15%</t>
        </is>
      </c>
      <c r="H9" s="0" t="inlineStr">
        <is>
          <t>PATCHING LUBANG + PEMADATAN + GRADING + DRAINASE + COMPACTING</t>
        </is>
      </c>
      <c r="I9" s="0" t="n">
        <v>874.0</v>
      </c>
      <c r="J9" s="0">
        <f>IF(E9="JU",Asumsi!$B$3,Asumsi!$B$4)</f>
      </c>
      <c r="K9" s="0">
        <f>I9*J9</f>
      </c>
      <c r="L9" s="0" t="n">
        <v>0.15</v>
      </c>
      <c r="M9" s="0" t="n">
        <v>0</v>
      </c>
      <c r="N9" s="0" t="n">
        <v>0.8</v>
      </c>
      <c r="O9" s="0" t="n">
        <v>0</v>
      </c>
      <c r="P9" s="0" t="n">
        <v>0.05</v>
      </c>
    </row>
    <row r="10">
      <c r="A10" s="0" t="inlineStr">
        <is>
          <t>29</t>
        </is>
      </c>
      <c r="B10" s="0" t="inlineStr">
        <is>
          <t>AFD 1</t>
        </is>
      </c>
      <c r="C10" s="0" t="inlineStr">
        <is>
          <t>RUSAK SEDANG</t>
        </is>
      </c>
      <c r="D10" s="0" t="inlineStr">
        <is>
          <t>RS 29</t>
        </is>
      </c>
      <c r="E10" s="0" t="inlineStr">
        <is>
          <t>JP</t>
        </is>
      </c>
      <c r="F10" s="0" t="inlineStr">
        <is>
          <t>A16</t>
        </is>
      </c>
      <c r="G10" s="0" t="inlineStr">
        <is>
          <t>WS10%, CR90%</t>
        </is>
      </c>
      <c r="H10" s="0" t="inlineStr">
        <is>
          <t>GRADING + DRAINASE + COMPACTING</t>
        </is>
      </c>
      <c r="I10" s="0" t="n">
        <v>792.0</v>
      </c>
      <c r="J10" s="0">
        <f>IF(E10="JU",Asumsi!$B$3,Asumsi!$B$4)</f>
      </c>
      <c r="K10" s="0">
        <f>I10*J10</f>
      </c>
      <c r="L10" s="0" t="n">
        <v>0.1</v>
      </c>
      <c r="M10" s="0" t="n">
        <v>0</v>
      </c>
      <c r="N10" s="0" t="n">
        <v>0.9</v>
      </c>
      <c r="O10" s="0" t="n">
        <v>0</v>
      </c>
      <c r="P10" s="0" t="n">
        <v>0</v>
      </c>
    </row>
    <row r="11">
      <c r="A11" s="0" t="inlineStr">
        <is>
          <t>30</t>
        </is>
      </c>
      <c r="B11" s="0" t="inlineStr">
        <is>
          <t>AFD 1</t>
        </is>
      </c>
      <c r="C11" s="0" t="inlineStr">
        <is>
          <t>RUSAK SEDANG</t>
        </is>
      </c>
      <c r="D11" s="0" t="inlineStr">
        <is>
          <t>RS 30</t>
        </is>
      </c>
      <c r="E11" s="0" t="inlineStr">
        <is>
          <t>JP</t>
        </is>
      </c>
      <c r="F11" s="0" t="inlineStr">
        <is>
          <t>A3</t>
        </is>
      </c>
      <c r="G11" s="0" t="inlineStr">
        <is>
          <t>LM30%, CR60%, PH10%</t>
        </is>
      </c>
      <c r="H11" s="0" t="inlineStr">
        <is>
          <t>RIPPING + SPREADING + COMPACTING + GRADING + PEMADATAN</t>
        </is>
      </c>
      <c r="I11" s="0" t="n">
        <v>667.0</v>
      </c>
      <c r="J11" s="0">
        <f>IF(E11="JU",Asumsi!$B$3,Asumsi!$B$4)</f>
      </c>
      <c r="K11" s="0">
        <f>I11*J11</f>
      </c>
      <c r="L11" s="0" t="n">
        <v>0</v>
      </c>
      <c r="M11" s="0" t="n">
        <v>0.3</v>
      </c>
      <c r="N11" s="0" t="n">
        <v>0.6</v>
      </c>
      <c r="O11" s="0" t="n">
        <v>0</v>
      </c>
      <c r="P11" s="0" t="n">
        <v>0.1</v>
      </c>
    </row>
    <row r="12">
      <c r="A12" s="0" t="inlineStr">
        <is>
          <t>31</t>
        </is>
      </c>
      <c r="B12" s="0" t="inlineStr">
        <is>
          <t>AFD 1</t>
        </is>
      </c>
      <c r="C12" s="0" t="inlineStr">
        <is>
          <t>RUSAK SEDANG</t>
        </is>
      </c>
      <c r="D12" s="0" t="inlineStr">
        <is>
          <t>RS 31</t>
        </is>
      </c>
      <c r="E12" s="0" t="inlineStr">
        <is>
          <t>JP</t>
        </is>
      </c>
      <c r="F12" s="0" t="inlineStr">
        <is>
          <t>A23</t>
        </is>
      </c>
      <c r="G12" s="0" t="inlineStr">
        <is>
          <t>LM30%, CR 70%</t>
        </is>
      </c>
      <c r="H12" s="0" t="inlineStr">
        <is>
          <t>RIPPING + SPREADING + COMPACTING + GRADING</t>
        </is>
      </c>
      <c r="I12" s="0" t="n">
        <v>622.0</v>
      </c>
      <c r="J12" s="0">
        <f>IF(E12="JU",Asumsi!$B$3,Asumsi!$B$4)</f>
      </c>
      <c r="K12" s="0">
        <f>I12*J12</f>
      </c>
      <c r="L12" s="0" t="n">
        <v>0</v>
      </c>
      <c r="M12" s="0" t="n">
        <v>0.3</v>
      </c>
      <c r="N12" s="0" t="n">
        <v>0.7</v>
      </c>
      <c r="O12" s="0" t="n">
        <v>0</v>
      </c>
      <c r="P12" s="0" t="n">
        <v>0</v>
      </c>
    </row>
    <row r="13">
      <c r="A13" s="0" t="inlineStr">
        <is>
          <t>32</t>
        </is>
      </c>
      <c r="B13" s="0" t="inlineStr">
        <is>
          <t>AFD 1</t>
        </is>
      </c>
      <c r="C13" s="0" t="inlineStr">
        <is>
          <t>RUSAK SEDANG</t>
        </is>
      </c>
      <c r="D13" s="0" t="inlineStr">
        <is>
          <t>RS 32</t>
        </is>
      </c>
      <c r="E13" s="0" t="inlineStr">
        <is>
          <t>JP</t>
        </is>
      </c>
      <c r="F13" s="0" t="inlineStr">
        <is>
          <t>A3</t>
        </is>
      </c>
      <c r="G13" s="0" t="inlineStr">
        <is>
          <t>LM40%, CR60%</t>
        </is>
      </c>
      <c r="H13" s="0" t="inlineStr">
        <is>
          <t>RIPPING + SPREADING + COMPACTING + GRADING</t>
        </is>
      </c>
      <c r="I13" s="0" t="n">
        <v>561.0</v>
      </c>
      <c r="J13" s="0">
        <f>IF(E13="JU",Asumsi!$B$3,Asumsi!$B$4)</f>
      </c>
      <c r="K13" s="0">
        <f>I13*J13</f>
      </c>
      <c r="L13" s="0" t="n">
        <v>0</v>
      </c>
      <c r="M13" s="0" t="n">
        <v>0.4</v>
      </c>
      <c r="N13" s="0" t="n">
        <v>0.6</v>
      </c>
      <c r="O13" s="0" t="n">
        <v>0</v>
      </c>
      <c r="P13" s="0" t="n">
        <v>0</v>
      </c>
    </row>
    <row r="14">
      <c r="A14" s="0" t="inlineStr">
        <is>
          <t>33</t>
        </is>
      </c>
      <c r="B14" s="0" t="inlineStr">
        <is>
          <t>AFD 1</t>
        </is>
      </c>
      <c r="C14" s="0" t="inlineStr">
        <is>
          <t>RUSAK SEDANG</t>
        </is>
      </c>
      <c r="D14" s="0" t="inlineStr">
        <is>
          <t>RS 33</t>
        </is>
      </c>
      <c r="E14" s="0" t="inlineStr">
        <is>
          <t>JP</t>
        </is>
      </c>
      <c r="F14" s="0" t="inlineStr">
        <is>
          <t>A19</t>
        </is>
      </c>
      <c r="G14" s="0" t="inlineStr">
        <is>
          <t>WS10%, LM30%, CR60%</t>
        </is>
      </c>
      <c r="H14" s="0" t="inlineStr">
        <is>
          <t>GRADING + DRAINASE + RIPPING + SPREADING + COMPACTING</t>
        </is>
      </c>
      <c r="I14" s="0" t="n">
        <v>554.0</v>
      </c>
      <c r="J14" s="0">
        <f>IF(E14="JU",Asumsi!$B$3,Asumsi!$B$4)</f>
      </c>
      <c r="K14" s="0">
        <f>I14*J14</f>
      </c>
      <c r="L14" s="0" t="n">
        <v>0.1</v>
      </c>
      <c r="M14" s="0" t="n">
        <v>0.3</v>
      </c>
      <c r="N14" s="0" t="n">
        <v>0.6</v>
      </c>
      <c r="O14" s="0" t="n">
        <v>0</v>
      </c>
      <c r="P14" s="0" t="n">
        <v>0</v>
      </c>
    </row>
    <row r="15">
      <c r="A15" s="0" t="inlineStr">
        <is>
          <t>34</t>
        </is>
      </c>
      <c r="B15" s="0" t="inlineStr">
        <is>
          <t>AFD 1</t>
        </is>
      </c>
      <c r="C15" s="0" t="inlineStr">
        <is>
          <t>RUSAK SEDANG</t>
        </is>
      </c>
      <c r="D15" s="0" t="inlineStr">
        <is>
          <t>RS 34</t>
        </is>
      </c>
      <c r="E15" s="0" t="inlineStr">
        <is>
          <t>JP</t>
        </is>
      </c>
      <c r="F15" s="0" t="inlineStr">
        <is>
          <t>A6</t>
        </is>
      </c>
      <c r="G15" s="0" t="inlineStr">
        <is>
          <t>WS10%, LM40%, CR50%</t>
        </is>
      </c>
      <c r="H15" s="0" t="inlineStr">
        <is>
          <t>GRADING + DRAINASE + RIPPING + SPREADING + COMPACTING</t>
        </is>
      </c>
      <c r="I15" s="0" t="n">
        <v>536.0</v>
      </c>
      <c r="J15" s="0">
        <f>IF(E15="JU",Asumsi!$B$3,Asumsi!$B$4)</f>
      </c>
      <c r="K15" s="0">
        <f>I15*J15</f>
      </c>
      <c r="L15" s="0" t="n">
        <v>0.1</v>
      </c>
      <c r="M15" s="0" t="n">
        <v>0.4</v>
      </c>
      <c r="N15" s="0" t="n">
        <v>0.5</v>
      </c>
      <c r="O15" s="0" t="n">
        <v>0</v>
      </c>
      <c r="P15" s="0" t="n">
        <v>0</v>
      </c>
    </row>
    <row r="16">
      <c r="A16" s="0" t="inlineStr">
        <is>
          <t>35</t>
        </is>
      </c>
      <c r="B16" s="0" t="inlineStr">
        <is>
          <t>AFD 1</t>
        </is>
      </c>
      <c r="C16" s="0" t="inlineStr">
        <is>
          <t>RUSAK SEDANG</t>
        </is>
      </c>
      <c r="D16" s="0" t="inlineStr">
        <is>
          <t>RS 35</t>
        </is>
      </c>
      <c r="E16" s="0" t="inlineStr">
        <is>
          <t>JP</t>
        </is>
      </c>
      <c r="F16" s="0" t="inlineStr">
        <is>
          <t>A3</t>
        </is>
      </c>
      <c r="G16" s="0" t="inlineStr">
        <is>
          <t>WS20%, CR80%</t>
        </is>
      </c>
      <c r="H16" s="0" t="inlineStr">
        <is>
          <t>GRADING + DRAINASE + COMPACTING</t>
        </is>
      </c>
      <c r="I16" s="0" t="n">
        <v>489.0</v>
      </c>
      <c r="J16" s="0">
        <f>IF(E16="JU",Asumsi!$B$3,Asumsi!$B$4)</f>
      </c>
      <c r="K16" s="0">
        <f>I16*J16</f>
      </c>
      <c r="L16" s="0" t="n">
        <v>0.2</v>
      </c>
      <c r="M16" s="0" t="n">
        <v>0</v>
      </c>
      <c r="N16" s="0" t="n">
        <v>0.8</v>
      </c>
      <c r="O16" s="0" t="n">
        <v>0</v>
      </c>
      <c r="P16" s="0" t="n">
        <v>0</v>
      </c>
    </row>
    <row r="17">
      <c r="A17" s="0" t="inlineStr">
        <is>
          <t>36</t>
        </is>
      </c>
      <c r="B17" s="0" t="inlineStr">
        <is>
          <t>AFD 1</t>
        </is>
      </c>
      <c r="C17" s="0" t="inlineStr">
        <is>
          <t>RUSAK SEDANG</t>
        </is>
      </c>
      <c r="D17" s="0" t="inlineStr">
        <is>
          <t>RS 36</t>
        </is>
      </c>
      <c r="E17" s="0" t="inlineStr">
        <is>
          <t>JP</t>
        </is>
      </c>
      <c r="F17" s="0" t="inlineStr">
        <is>
          <t>A11</t>
        </is>
      </c>
      <c r="G17" s="0" t="inlineStr">
        <is>
          <t>LM40%, CR60%</t>
        </is>
      </c>
      <c r="H17" s="0" t="inlineStr">
        <is>
          <t>RIPPING + SPREADING + COMPACTING + GRADING</t>
        </is>
      </c>
      <c r="I17" s="0" t="n">
        <v>412.0</v>
      </c>
      <c r="J17" s="0">
        <f>IF(E17="JU",Asumsi!$B$3,Asumsi!$B$4)</f>
      </c>
      <c r="K17" s="0">
        <f>I17*J17</f>
      </c>
      <c r="L17" s="0" t="n">
        <v>0</v>
      </c>
      <c r="M17" s="0" t="n">
        <v>0.4</v>
      </c>
      <c r="N17" s="0" t="n">
        <v>0.6</v>
      </c>
      <c r="O17" s="0" t="n">
        <v>0</v>
      </c>
      <c r="P17" s="0" t="n">
        <v>0</v>
      </c>
    </row>
    <row r="18">
      <c r="A18" s="0" t="inlineStr">
        <is>
          <t>37</t>
        </is>
      </c>
      <c r="B18" s="0" t="inlineStr">
        <is>
          <t>AFD 1</t>
        </is>
      </c>
      <c r="C18" s="0" t="inlineStr">
        <is>
          <t>RUSAK SEDANG</t>
        </is>
      </c>
      <c r="D18" s="0" t="inlineStr">
        <is>
          <t>RS 37</t>
        </is>
      </c>
      <c r="E18" s="0" t="inlineStr">
        <is>
          <t>JP</t>
        </is>
      </c>
      <c r="F18" s="0" t="inlineStr">
        <is>
          <t>A24</t>
        </is>
      </c>
      <c r="G18" s="0" t="inlineStr">
        <is>
          <t>WS10%, CR90%</t>
        </is>
      </c>
      <c r="H18" s="0" t="inlineStr">
        <is>
          <t>GRADING + DRAINASE + COMPACTING</t>
        </is>
      </c>
      <c r="I18" s="0" t="n">
        <v>312.0</v>
      </c>
      <c r="J18" s="0">
        <f>IF(E18="JU",Asumsi!$B$3,Asumsi!$B$4)</f>
      </c>
      <c r="K18" s="0">
        <f>I18*J18</f>
      </c>
      <c r="L18" s="0" t="n">
        <v>0.1</v>
      </c>
      <c r="M18" s="0" t="n">
        <v>0</v>
      </c>
      <c r="N18" s="0" t="n">
        <v>0.9</v>
      </c>
      <c r="O18" s="0" t="n">
        <v>0</v>
      </c>
      <c r="P18" s="0" t="n">
        <v>0</v>
      </c>
    </row>
    <row r="19">
      <c r="A19" s="0" t="inlineStr">
        <is>
          <t>38</t>
        </is>
      </c>
      <c r="B19" s="0" t="inlineStr">
        <is>
          <t>AFD 1</t>
        </is>
      </c>
      <c r="C19" s="0" t="inlineStr">
        <is>
          <t>RUSAK SEDANG</t>
        </is>
      </c>
      <c r="D19" s="0" t="inlineStr">
        <is>
          <t>RS 38</t>
        </is>
      </c>
      <c r="E19" s="0" t="inlineStr">
        <is>
          <t>JP</t>
        </is>
      </c>
      <c r="F19" s="0" t="inlineStr">
        <is>
          <t>A10</t>
        </is>
      </c>
      <c r="G19" s="0" t="inlineStr">
        <is>
          <t>LM30%, CR 70%</t>
        </is>
      </c>
      <c r="H19" s="0" t="inlineStr">
        <is>
          <t>RIPPING + SPREADING + COMPACTING + GRADING</t>
        </is>
      </c>
      <c r="I19" s="0" t="n">
        <v>276.0</v>
      </c>
      <c r="J19" s="0">
        <f>IF(E19="JU",Asumsi!$B$3,Asumsi!$B$4)</f>
      </c>
      <c r="K19" s="0">
        <f>I19*J19</f>
      </c>
      <c r="L19" s="0" t="n">
        <v>0</v>
      </c>
      <c r="M19" s="0" t="n">
        <v>0.3</v>
      </c>
      <c r="N19" s="0" t="n">
        <v>0.7</v>
      </c>
      <c r="O19" s="0" t="n">
        <v>0</v>
      </c>
      <c r="P19" s="0" t="n">
        <v>0</v>
      </c>
    </row>
    <row r="20">
      <c r="A20" s="0" t="inlineStr">
        <is>
          <t>39</t>
        </is>
      </c>
      <c r="B20" s="0" t="inlineStr">
        <is>
          <t>AFD 1</t>
        </is>
      </c>
      <c r="C20" s="0" t="inlineStr">
        <is>
          <t>RUSAK SEDANG</t>
        </is>
      </c>
      <c r="D20" s="0" t="inlineStr">
        <is>
          <t>RS 39</t>
        </is>
      </c>
      <c r="E20" s="0" t="inlineStr">
        <is>
          <t>JPN</t>
        </is>
      </c>
      <c r="F20" s="0" t="inlineStr">
        <is>
          <t>A30</t>
        </is>
      </c>
      <c r="G20" s="0" t="inlineStr">
        <is>
          <t>WS10%, LM40%, CR50%</t>
        </is>
      </c>
      <c r="H20" s="0" t="inlineStr">
        <is>
          <t>GRADING + DRAINASE + RIPPING + SPREADING + COMPACTING</t>
        </is>
      </c>
      <c r="I20" s="0" t="n">
        <v>764.0</v>
      </c>
      <c r="J20" s="0">
        <f>IF(E20="JU",Asumsi!$B$3,Asumsi!$B$4)</f>
      </c>
      <c r="K20" s="0">
        <f>I20*J20</f>
      </c>
      <c r="L20" s="0" t="n">
        <v>0.1</v>
      </c>
      <c r="M20" s="0" t="n">
        <v>0.4</v>
      </c>
      <c r="N20" s="0" t="n">
        <v>0.5</v>
      </c>
      <c r="O20" s="0" t="n">
        <v>0</v>
      </c>
      <c r="P20" s="0" t="n">
        <v>0</v>
      </c>
    </row>
    <row r="21">
      <c r="A21" s="0" t="inlineStr">
        <is>
          <t>40</t>
        </is>
      </c>
      <c r="B21" s="0" t="inlineStr">
        <is>
          <t>AFD 1</t>
        </is>
      </c>
      <c r="C21" s="0" t="inlineStr">
        <is>
          <t>RUSAK SEDANG</t>
        </is>
      </c>
      <c r="D21" s="0" t="inlineStr">
        <is>
          <t>RS 40</t>
        </is>
      </c>
      <c r="E21" s="0" t="inlineStr">
        <is>
          <t>JPN</t>
        </is>
      </c>
      <c r="F21" s="0" t="inlineStr">
        <is>
          <t>A14</t>
        </is>
      </c>
      <c r="G21" s="0" t="inlineStr">
        <is>
          <t>WS20%, CR80%</t>
        </is>
      </c>
      <c r="H21" s="0" t="inlineStr">
        <is>
          <t>GRADING + DRAINASE + COMPACTING</t>
        </is>
      </c>
      <c r="I21" s="0" t="n">
        <v>380.0</v>
      </c>
      <c r="J21" s="0">
        <f>IF(E21="JU",Asumsi!$B$3,Asumsi!$B$4)</f>
      </c>
      <c r="K21" s="0">
        <f>I21*J21</f>
      </c>
      <c r="L21" s="0" t="n">
        <v>0.2</v>
      </c>
      <c r="M21" s="0" t="n">
        <v>0</v>
      </c>
      <c r="N21" s="0" t="n">
        <v>0.8</v>
      </c>
      <c r="O21" s="0" t="n">
        <v>0</v>
      </c>
      <c r="P21" s="0" t="n">
        <v>0</v>
      </c>
    </row>
    <row r="22">
      <c r="A22" s="0" t="inlineStr">
        <is>
          <t>41</t>
        </is>
      </c>
      <c r="B22" s="0" t="inlineStr">
        <is>
          <t>AFD 1</t>
        </is>
      </c>
      <c r="C22" s="0" t="inlineStr">
        <is>
          <t>RUSAK SEDANG</t>
        </is>
      </c>
      <c r="D22" s="0" t="inlineStr">
        <is>
          <t>RS 41</t>
        </is>
      </c>
      <c r="E22" s="0" t="inlineStr">
        <is>
          <t>JB</t>
        </is>
      </c>
      <c r="F22" s="0" t="inlineStr">
        <is>
          <t>A28</t>
        </is>
      </c>
      <c r="G22" s="0" t="inlineStr">
        <is>
          <t>LM40%, CR60%</t>
        </is>
      </c>
      <c r="H22" s="0" t="inlineStr">
        <is>
          <t>RIPPING + SPREADING + COMPACTING + GRADING</t>
        </is>
      </c>
      <c r="I22" s="0" t="n">
        <v>1119.0</v>
      </c>
      <c r="J22" s="0">
        <f>IF(E22="JU",Asumsi!$B$3,Asumsi!$B$4)</f>
      </c>
      <c r="K22" s="0">
        <f>I22*J22</f>
      </c>
      <c r="L22" s="0" t="n">
        <v>0</v>
      </c>
      <c r="M22" s="0" t="n">
        <v>0.4</v>
      </c>
      <c r="N22" s="0" t="n">
        <v>0.6</v>
      </c>
      <c r="O22" s="0" t="n">
        <v>0</v>
      </c>
      <c r="P22" s="0" t="n">
        <v>0</v>
      </c>
    </row>
    <row r="23">
      <c r="A23" s="0" t="inlineStr">
        <is>
          <t>42</t>
        </is>
      </c>
      <c r="B23" s="0" t="inlineStr">
        <is>
          <t>AFD 1</t>
        </is>
      </c>
      <c r="C23" s="0" t="inlineStr">
        <is>
          <t>RUSAK SEDANG</t>
        </is>
      </c>
      <c r="D23" s="0" t="inlineStr">
        <is>
          <t>RS 42</t>
        </is>
      </c>
      <c r="E23" s="0" t="inlineStr">
        <is>
          <t>JB</t>
        </is>
      </c>
      <c r="F23" s="0" t="inlineStr">
        <is>
          <t>A15</t>
        </is>
      </c>
      <c r="G23" s="0" t="inlineStr">
        <is>
          <t>WS10%, CR90%</t>
        </is>
      </c>
      <c r="H23" s="0" t="inlineStr">
        <is>
          <t>GRADING + DRAINASE + COMPACTING</t>
        </is>
      </c>
      <c r="I23" s="0" t="n">
        <v>1088.0</v>
      </c>
      <c r="J23" s="0">
        <f>IF(E23="JU",Asumsi!$B$3,Asumsi!$B$4)</f>
      </c>
      <c r="K23" s="0">
        <f>I23*J23</f>
      </c>
      <c r="L23" s="0" t="n">
        <v>0.1</v>
      </c>
      <c r="M23" s="0" t="n">
        <v>0</v>
      </c>
      <c r="N23" s="0" t="n">
        <v>0.9</v>
      </c>
      <c r="O23" s="0" t="n">
        <v>0</v>
      </c>
      <c r="P23" s="0" t="n">
        <v>0</v>
      </c>
    </row>
    <row r="24">
      <c r="A24" s="0" t="inlineStr">
        <is>
          <t>43</t>
        </is>
      </c>
      <c r="B24" s="0" t="inlineStr">
        <is>
          <t>AFD 1</t>
        </is>
      </c>
      <c r="C24" s="0" t="inlineStr">
        <is>
          <t>RUSAK SEDANG</t>
        </is>
      </c>
      <c r="D24" s="0" t="inlineStr">
        <is>
          <t>RS 43</t>
        </is>
      </c>
      <c r="E24" s="0" t="inlineStr">
        <is>
          <t>JB</t>
        </is>
      </c>
      <c r="F24" s="0" t="inlineStr">
        <is>
          <t>A25</t>
        </is>
      </c>
      <c r="G24" s="0" t="inlineStr">
        <is>
          <t>LM30%, CR 70%</t>
        </is>
      </c>
      <c r="H24" s="0" t="inlineStr">
        <is>
          <t>RIPPING + SPREADING + COMPACTING + GRADING</t>
        </is>
      </c>
      <c r="I24" s="0" t="n">
        <v>565.0</v>
      </c>
      <c r="J24" s="0">
        <f>IF(E24="JU",Asumsi!$B$3,Asumsi!$B$4)</f>
      </c>
      <c r="K24" s="0">
        <f>I24*J24</f>
      </c>
      <c r="L24" s="0" t="n">
        <v>0</v>
      </c>
      <c r="M24" s="0" t="n">
        <v>0.3</v>
      </c>
      <c r="N24" s="0" t="n">
        <v>0.7</v>
      </c>
      <c r="O24" s="0" t="n">
        <v>0</v>
      </c>
      <c r="P24" s="0" t="n">
        <v>0</v>
      </c>
    </row>
    <row r="25">
      <c r="A25" s="0" t="inlineStr">
        <is>
          <t>44</t>
        </is>
      </c>
      <c r="B25" s="0" t="inlineStr">
        <is>
          <t>AFD 1</t>
        </is>
      </c>
      <c r="C25" s="0" t="inlineStr">
        <is>
          <t>RUSAK SEDANG</t>
        </is>
      </c>
      <c r="D25" s="0" t="inlineStr">
        <is>
          <t>RS 44</t>
        </is>
      </c>
      <c r="E25" s="0" t="inlineStr">
        <is>
          <t>JB</t>
        </is>
      </c>
      <c r="F25" s="0" t="inlineStr">
        <is>
          <t>A15</t>
        </is>
      </c>
      <c r="G25" s="0" t="inlineStr">
        <is>
          <t>PH5%, CR80%, WS15%</t>
        </is>
      </c>
      <c r="H25" s="0" t="inlineStr">
        <is>
          <t>PATCHING LUBANG + PEMADATAN + GRADING + DRAINASE + COMPACTING</t>
        </is>
      </c>
      <c r="I25" s="0" t="n">
        <v>103.0</v>
      </c>
      <c r="J25" s="0">
        <f>IF(E25="JU",Asumsi!$B$3,Asumsi!$B$4)</f>
      </c>
      <c r="K25" s="0">
        <f>I25*J25</f>
      </c>
      <c r="L25" s="0" t="n">
        <v>0.15</v>
      </c>
      <c r="M25" s="0" t="n">
        <v>0</v>
      </c>
      <c r="N25" s="0" t="n">
        <v>0.8</v>
      </c>
      <c r="O25" s="0" t="n">
        <v>0</v>
      </c>
      <c r="P25" s="0" t="n">
        <v>0.05</v>
      </c>
    </row>
    <row r="26">
      <c r="A26" s="0" t="inlineStr">
        <is>
          <t>45</t>
        </is>
      </c>
      <c r="B26" s="0" t="inlineStr">
        <is>
          <t>AFD 1</t>
        </is>
      </c>
      <c r="C26" s="0" t="inlineStr">
        <is>
          <t>RUSAK SEDANG</t>
        </is>
      </c>
      <c r="D26" s="0" t="inlineStr">
        <is>
          <t>RS 45</t>
        </is>
      </c>
      <c r="E26" s="0" t="inlineStr">
        <is>
          <t>JA</t>
        </is>
      </c>
      <c r="F26" s="0" t="inlineStr">
        <is>
          <t>A10-A13</t>
        </is>
      </c>
      <c r="G26" s="0" t="inlineStr">
        <is>
          <t>LM40%, CR60%</t>
        </is>
      </c>
      <c r="H26" s="0" t="inlineStr">
        <is>
          <t>RIPPING + SPREADING + COMPACTING + GRADING</t>
        </is>
      </c>
      <c r="I26" s="0" t="n">
        <v>2077.0</v>
      </c>
      <c r="J26" s="0">
        <f>IF(E26="JU",Asumsi!$B$3,Asumsi!$B$4)</f>
      </c>
      <c r="K26" s="0">
        <f>I26*J26</f>
      </c>
      <c r="L26" s="0" t="n">
        <v>0</v>
      </c>
      <c r="M26" s="0" t="n">
        <v>0.4</v>
      </c>
      <c r="N26" s="0" t="n">
        <v>0.6</v>
      </c>
      <c r="O26" s="0" t="n">
        <v>0</v>
      </c>
      <c r="P26" s="0" t="n">
        <v>0</v>
      </c>
    </row>
    <row r="27">
      <c r="A27" s="0" t="inlineStr">
        <is>
          <t>24</t>
        </is>
      </c>
      <c r="B27" s="0" t="inlineStr">
        <is>
          <t>AFD 1</t>
        </is>
      </c>
      <c r="C27" s="0" t="inlineStr">
        <is>
          <t>RUSAK BERAT</t>
        </is>
      </c>
      <c r="D27" s="0" t="inlineStr">
        <is>
          <t>RB 1</t>
        </is>
      </c>
      <c r="E27" s="0" t="inlineStr">
        <is>
          <t>JU</t>
        </is>
      </c>
      <c r="F27" s="0" t="inlineStr">
        <is>
          <t>A18</t>
        </is>
      </c>
      <c r="G27" s="0" t="inlineStr">
        <is>
          <t>LM30%, UN30%, CR40%</t>
        </is>
      </c>
      <c r="H27" s="0" t="inlineStr">
        <is>
          <t>RIPPING + SPREADING + COMPACTING + PERBAIKAN TANAH DASAR + BASECOURSE BARU + GRADING </t>
        </is>
      </c>
      <c r="I27" s="0" t="n">
        <v>610.0</v>
      </c>
      <c r="J27" s="0">
        <f>IF(E27="JU",Asumsi!$B$3,Asumsi!$B$4)</f>
      </c>
      <c r="K27" s="0">
        <f>I27*J27</f>
      </c>
      <c r="L27" s="0" t="n">
        <v>0</v>
      </c>
      <c r="M27" s="0" t="n">
        <v>0.3</v>
      </c>
      <c r="N27" s="0" t="n">
        <v>0.4</v>
      </c>
      <c r="O27" s="0" t="n">
        <v>0.3</v>
      </c>
      <c r="P27" s="0" t="n">
        <v>0</v>
      </c>
    </row>
    <row r="28">
      <c r="A28" s="0" t="inlineStr">
        <is>
          <t>25</t>
        </is>
      </c>
      <c r="B28" s="0" t="inlineStr">
        <is>
          <t>AFD 1</t>
        </is>
      </c>
      <c r="C28" s="0" t="inlineStr">
        <is>
          <t>RUSAK BERAT</t>
        </is>
      </c>
      <c r="D28" s="0" t="inlineStr">
        <is>
          <t>RB 2</t>
        </is>
      </c>
      <c r="E28" s="0" t="inlineStr">
        <is>
          <t>JU</t>
        </is>
      </c>
      <c r="F28" s="0" t="inlineStr">
        <is>
          <t>A2</t>
        </is>
      </c>
      <c r="G28" s="0" t="inlineStr">
        <is>
          <t>LM30%, UN30%, CR40%</t>
        </is>
      </c>
      <c r="H28" s="0" t="inlineStr">
        <is>
          <t>RIPPING + SPREADING + COMPACTING + PERBAIKAN TANAH DASAR + BASECOURSE BARU + GRADING </t>
        </is>
      </c>
      <c r="I28" s="0" t="n">
        <v>628.0</v>
      </c>
      <c r="J28" s="0">
        <f>IF(E28="JU",Asumsi!$B$3,Asumsi!$B$4)</f>
      </c>
      <c r="K28" s="0">
        <f>I28*J28</f>
      </c>
      <c r="L28" s="0" t="n">
        <v>0</v>
      </c>
      <c r="M28" s="0" t="n">
        <v>0.3</v>
      </c>
      <c r="N28" s="0" t="n">
        <v>0.4</v>
      </c>
      <c r="O28" s="0" t="n">
        <v>0.3</v>
      </c>
      <c r="P28" s="0" t="n">
        <v>0</v>
      </c>
    </row>
    <row r="29">
      <c r="A29" s="0" t="inlineStr">
        <is>
          <t>26</t>
        </is>
      </c>
      <c r="B29" s="0" t="inlineStr">
        <is>
          <t>AFD 1</t>
        </is>
      </c>
      <c r="C29" s="0" t="inlineStr">
        <is>
          <t>RUSAK BERAT</t>
        </is>
      </c>
      <c r="D29" s="0" t="inlineStr">
        <is>
          <t>RB 3</t>
        </is>
      </c>
      <c r="E29" s="0" t="inlineStr">
        <is>
          <t>JU</t>
        </is>
      </c>
      <c r="F29" s="0" t="inlineStr">
        <is>
          <t>A29</t>
        </is>
      </c>
      <c r="G29" s="0" t="inlineStr">
        <is>
          <t>WS20%, LM30%, CR50%</t>
        </is>
      </c>
      <c r="H29" s="0" t="inlineStr">
        <is>
          <t>GRADING + DRAINASE + RIPPING + SPREADING + COMPACTING</t>
        </is>
      </c>
      <c r="I29" s="0" t="n">
        <v>484.0</v>
      </c>
      <c r="J29" s="0">
        <f>IF(E29="JU",Asumsi!$B$3,Asumsi!$B$4)</f>
      </c>
      <c r="K29" s="0">
        <f>I29*J29</f>
      </c>
      <c r="L29" s="0" t="n">
        <v>0.2</v>
      </c>
      <c r="M29" s="0" t="n">
        <v>0.3</v>
      </c>
      <c r="N29" s="0" t="n">
        <v>0.5</v>
      </c>
      <c r="O29" s="0" t="n">
        <v>0</v>
      </c>
      <c r="P29" s="0" t="n">
        <v>0</v>
      </c>
    </row>
    <row r="30">
      <c r="A30" s="0" t="inlineStr">
        <is>
          <t>27</t>
        </is>
      </c>
      <c r="B30" s="0" t="inlineStr">
        <is>
          <t>AFD 1</t>
        </is>
      </c>
      <c r="C30" s="0" t="inlineStr">
        <is>
          <t>RUSAK BERAT</t>
        </is>
      </c>
      <c r="D30" s="0" t="inlineStr">
        <is>
          <t>RB 4</t>
        </is>
      </c>
      <c r="E30" s="0" t="inlineStr">
        <is>
          <t>JP</t>
        </is>
      </c>
      <c r="F30" s="0" t="inlineStr">
        <is>
          <t>A17</t>
        </is>
      </c>
      <c r="G30" s="0" t="inlineStr">
        <is>
          <t>WS30%, CR70%</t>
        </is>
      </c>
      <c r="H30" s="0" t="inlineStr">
        <is>
          <t>GRADING + DRAINASE + COMPACTING</t>
        </is>
      </c>
      <c r="I30" s="0" t="n">
        <v>638.0</v>
      </c>
      <c r="J30" s="0">
        <f>IF(E30="JU",Asumsi!$B$3,Asumsi!$B$4)</f>
      </c>
      <c r="K30" s="0">
        <f>I30*J30</f>
      </c>
      <c r="L30" s="0" t="n">
        <v>0.3</v>
      </c>
      <c r="M30" s="0" t="n">
        <v>0</v>
      </c>
      <c r="N30" s="0" t="n">
        <v>0.7</v>
      </c>
      <c r="O30" s="0" t="n">
        <v>0</v>
      </c>
      <c r="P30" s="0" t="n">
        <v>0</v>
      </c>
    </row>
    <row r="31">
      <c r="A31" s="0" t="inlineStr">
        <is>
          <t>28</t>
        </is>
      </c>
      <c r="B31" s="0" t="inlineStr">
        <is>
          <t>AFD 1</t>
        </is>
      </c>
      <c r="C31" s="0" t="inlineStr">
        <is>
          <t>RUSAK BERAT</t>
        </is>
      </c>
      <c r="D31" s="0" t="inlineStr">
        <is>
          <t>RB 5</t>
        </is>
      </c>
      <c r="E31" s="0" t="inlineStr">
        <is>
          <t>JU</t>
        </is>
      </c>
      <c r="F31" s="0" t="inlineStr">
        <is>
          <t>A16</t>
        </is>
      </c>
      <c r="G31" s="0" t="inlineStr">
        <is>
          <t>LM40%, UN30%, CR30%</t>
        </is>
      </c>
      <c r="H31" s="0" t="inlineStr">
        <is>
          <t>RIPPING + SPREADING + COMPACTING + PERBAIKAN TANAH DASAR + BASECOURSE BARU + GRADING </t>
        </is>
      </c>
      <c r="I31" s="0" t="n">
        <v>630.0</v>
      </c>
      <c r="J31" s="0">
        <f>IF(E31="JU",Asumsi!$B$3,Asumsi!$B$4)</f>
      </c>
      <c r="K31" s="0">
        <f>I31*J31</f>
      </c>
      <c r="L31" s="0" t="n">
        <v>0</v>
      </c>
      <c r="M31" s="0" t="n">
        <v>0.4</v>
      </c>
      <c r="N31" s="0" t="n">
        <v>0.3</v>
      </c>
      <c r="O31" s="0" t="n">
        <v>0.3</v>
      </c>
      <c r="P31" s="0" t="n">
        <v>0</v>
      </c>
    </row>
    <row r="32">
      <c r="A32" s="0" t="inlineStr">
        <is>
          <t>29</t>
        </is>
      </c>
      <c r="B32" s="0" t="inlineStr">
        <is>
          <t>AFD 1</t>
        </is>
      </c>
      <c r="C32" s="0" t="inlineStr">
        <is>
          <t>RUSAK BERAT</t>
        </is>
      </c>
      <c r="D32" s="0" t="inlineStr">
        <is>
          <t>RB 6</t>
        </is>
      </c>
      <c r="E32" s="0" t="inlineStr">
        <is>
          <t>JU</t>
        </is>
      </c>
      <c r="F32" s="0" t="inlineStr">
        <is>
          <t>A25</t>
        </is>
      </c>
      <c r="G32" s="0" t="inlineStr">
        <is>
          <t>WS20%, LM30%, CR50%</t>
        </is>
      </c>
      <c r="H32" s="0" t="inlineStr">
        <is>
          <t>GRADING + DRAINASE + RIPPING + SPREADING + COMPACTING</t>
        </is>
      </c>
      <c r="I32" s="0" t="n">
        <v>626.0</v>
      </c>
      <c r="J32" s="0">
        <f>IF(E32="JU",Asumsi!$B$3,Asumsi!$B$4)</f>
      </c>
      <c r="K32" s="0">
        <f>I32*J32</f>
      </c>
      <c r="L32" s="0" t="n">
        <v>0.2</v>
      </c>
      <c r="M32" s="0" t="n">
        <v>0.3</v>
      </c>
      <c r="N32" s="0" t="n">
        <v>0.5</v>
      </c>
      <c r="O32" s="0" t="n">
        <v>0</v>
      </c>
      <c r="P32" s="0" t="n">
        <v>0</v>
      </c>
    </row>
    <row r="33">
      <c r="A33" s="0" t="inlineStr">
        <is>
          <t>30</t>
        </is>
      </c>
      <c r="B33" s="0" t="inlineStr">
        <is>
          <t>AFD 1</t>
        </is>
      </c>
      <c r="C33" s="0" t="inlineStr">
        <is>
          <t>RUSAK BERAT</t>
        </is>
      </c>
      <c r="D33" s="0" t="inlineStr">
        <is>
          <t>RB 7</t>
        </is>
      </c>
      <c r="E33" s="0" t="inlineStr">
        <is>
          <t>JU</t>
        </is>
      </c>
      <c r="F33" s="0" t="inlineStr">
        <is>
          <t>A23</t>
        </is>
      </c>
      <c r="G33" s="0" t="inlineStr">
        <is>
          <t>LM50%, UN20%, CR30%</t>
        </is>
      </c>
      <c r="H33" s="0" t="inlineStr">
        <is>
          <t>RIPPING + SPREADING + COMPACTING + PERBAIKAN TANAH DASAR + BASECOURSE BARU + GRADING </t>
        </is>
      </c>
      <c r="I33" s="0" t="n">
        <v>685.0</v>
      </c>
      <c r="J33" s="0">
        <f>IF(E33="JU",Asumsi!$B$3,Asumsi!$B$4)</f>
      </c>
      <c r="K33" s="0">
        <f>I33*J33</f>
      </c>
      <c r="L33" s="0" t="n">
        <v>0</v>
      </c>
      <c r="M33" s="0" t="n">
        <v>0.5</v>
      </c>
      <c r="N33" s="0" t="n">
        <v>0.3</v>
      </c>
      <c r="O33" s="0" t="n">
        <v>0.2</v>
      </c>
      <c r="P33" s="0" t="n">
        <v>0</v>
      </c>
    </row>
    <row r="34">
      <c r="A34" s="0" t="inlineStr">
        <is>
          <t>31</t>
        </is>
      </c>
      <c r="B34" s="0" t="inlineStr">
        <is>
          <t>AFD 1</t>
        </is>
      </c>
      <c r="C34" s="0" t="inlineStr">
        <is>
          <t>RUSAK BERAT</t>
        </is>
      </c>
      <c r="D34" s="0" t="inlineStr">
        <is>
          <t>RB 8</t>
        </is>
      </c>
      <c r="E34" s="0" t="inlineStr">
        <is>
          <t>JU</t>
        </is>
      </c>
      <c r="F34" s="0" t="inlineStr">
        <is>
          <t>A7</t>
        </is>
      </c>
      <c r="G34" s="0" t="inlineStr">
        <is>
          <t>LM50%, CR50%</t>
        </is>
      </c>
      <c r="H34" s="0" t="inlineStr">
        <is>
          <t>RIPPING + SPREADING + COMPACTING + GRADING</t>
        </is>
      </c>
      <c r="I34" s="0" t="n">
        <v>1358.0</v>
      </c>
      <c r="J34" s="0">
        <f>IF(E34="JU",Asumsi!$B$3,Asumsi!$B$4)</f>
      </c>
      <c r="K34" s="0">
        <f>I34*J34</f>
      </c>
      <c r="L34" s="0" t="n">
        <v>0</v>
      </c>
      <c r="M34" s="0" t="n">
        <v>0.5</v>
      </c>
      <c r="N34" s="0" t="n">
        <v>0.5</v>
      </c>
      <c r="O34" s="0" t="n">
        <v>0</v>
      </c>
      <c r="P34" s="0" t="n">
        <v>0</v>
      </c>
    </row>
    <row r="35">
      <c r="A35" s="0" t="inlineStr">
        <is>
          <t>32</t>
        </is>
      </c>
      <c r="B35" s="0" t="inlineStr">
        <is>
          <t>AFD 1</t>
        </is>
      </c>
      <c r="C35" s="0" t="inlineStr">
        <is>
          <t>RUSAK BERAT</t>
        </is>
      </c>
      <c r="D35" s="0" t="inlineStr">
        <is>
          <t>RB 9</t>
        </is>
      </c>
      <c r="E35" s="0" t="inlineStr">
        <is>
          <t>JU</t>
        </is>
      </c>
      <c r="F35" s="0" t="inlineStr">
        <is>
          <t>A3</t>
        </is>
      </c>
      <c r="G35" s="0" t="inlineStr">
        <is>
          <t>WS20%, LM30%, CR50%</t>
        </is>
      </c>
      <c r="H35" s="0" t="inlineStr">
        <is>
          <t>GRADING + DRAINASE + RIPPING + SPREADING + COMPACTING</t>
        </is>
      </c>
      <c r="I35" s="0" t="n">
        <v>974.0</v>
      </c>
      <c r="J35" s="0">
        <f>IF(E35="JU",Asumsi!$B$3,Asumsi!$B$4)</f>
      </c>
      <c r="K35" s="0">
        <f>I35*J35</f>
      </c>
      <c r="L35" s="0" t="n">
        <v>0.2</v>
      </c>
      <c r="M35" s="0" t="n">
        <v>0.3</v>
      </c>
      <c r="N35" s="0" t="n">
        <v>0.5</v>
      </c>
      <c r="O35" s="0" t="n">
        <v>0</v>
      </c>
      <c r="P35" s="0" t="n">
        <v>0</v>
      </c>
    </row>
    <row r="36">
      <c r="A36" s="0" t="inlineStr">
        <is>
          <t>33</t>
        </is>
      </c>
      <c r="B36" s="0" t="inlineStr">
        <is>
          <t>AFD 1</t>
        </is>
      </c>
      <c r="C36" s="0" t="inlineStr">
        <is>
          <t>RUSAK BERAT</t>
        </is>
      </c>
      <c r="D36" s="0" t="inlineStr">
        <is>
          <t>RB 10</t>
        </is>
      </c>
      <c r="E36" s="0" t="inlineStr">
        <is>
          <t>JP</t>
        </is>
      </c>
      <c r="F36" s="0" t="inlineStr">
        <is>
          <t>A1</t>
        </is>
      </c>
      <c r="G36" s="0" t="inlineStr">
        <is>
          <t>WS20%, CR80%</t>
        </is>
      </c>
      <c r="H36" s="0" t="inlineStr">
        <is>
          <t>GRADING + DRAINASE + COMPACTING</t>
        </is>
      </c>
      <c r="I36" s="0" t="n">
        <v>693.0</v>
      </c>
      <c r="J36" s="0">
        <f>IF(E36="JU",Asumsi!$B$3,Asumsi!$B$4)</f>
      </c>
      <c r="K36" s="0">
        <f>I36*J36</f>
      </c>
      <c r="L36" s="0" t="n">
        <v>0.2</v>
      </c>
      <c r="M36" s="0" t="n">
        <v>0</v>
      </c>
      <c r="N36" s="0" t="n">
        <v>0.8</v>
      </c>
      <c r="O36" s="0" t="n">
        <v>0</v>
      </c>
      <c r="P36" s="0" t="n">
        <v>0</v>
      </c>
    </row>
    <row r="37">
      <c r="A37" s="0" t="inlineStr">
        <is>
          <t>34</t>
        </is>
      </c>
      <c r="B37" s="0" t="inlineStr">
        <is>
          <t>AFD 1</t>
        </is>
      </c>
      <c r="C37" s="0" t="inlineStr">
        <is>
          <t>RUSAK BERAT</t>
        </is>
      </c>
      <c r="D37" s="0" t="inlineStr">
        <is>
          <t>RB 11</t>
        </is>
      </c>
      <c r="E37" s="0" t="inlineStr">
        <is>
          <t>JU</t>
        </is>
      </c>
      <c r="F37" s="0" t="inlineStr">
        <is>
          <t>A4</t>
        </is>
      </c>
      <c r="G37" s="0" t="inlineStr">
        <is>
          <t>LM30%, UN30%, CR40%</t>
        </is>
      </c>
      <c r="H37" s="0" t="inlineStr">
        <is>
          <t>RIPPING + SPREADING + COMPACTING + PERBAIKAN TANAH DASAR + BASECOURSE BARU + GRADING </t>
        </is>
      </c>
      <c r="I37" s="0" t="n">
        <v>576.0</v>
      </c>
      <c r="J37" s="0">
        <f>IF(E37="JU",Asumsi!$B$3,Asumsi!$B$4)</f>
      </c>
      <c r="K37" s="0">
        <f>I37*J37</f>
      </c>
      <c r="L37" s="0" t="n">
        <v>0</v>
      </c>
      <c r="M37" s="0" t="n">
        <v>0.3</v>
      </c>
      <c r="N37" s="0" t="n">
        <v>0.4</v>
      </c>
      <c r="O37" s="0" t="n">
        <v>0.3</v>
      </c>
      <c r="P37" s="0" t="n">
        <v>0</v>
      </c>
    </row>
    <row r="38">
      <c r="A38" s="0" t="inlineStr">
        <is>
          <t>35</t>
        </is>
      </c>
      <c r="B38" s="0" t="inlineStr">
        <is>
          <t>AFD 1</t>
        </is>
      </c>
      <c r="C38" s="0" t="inlineStr">
        <is>
          <t>RUSAK BERAT</t>
        </is>
      </c>
      <c r="D38" s="0" t="inlineStr">
        <is>
          <t>RB 12</t>
        </is>
      </c>
      <c r="E38" s="0" t="inlineStr">
        <is>
          <t>JP</t>
        </is>
      </c>
      <c r="F38" s="0" t="inlineStr">
        <is>
          <t>A27</t>
        </is>
      </c>
      <c r="G38" s="0" t="inlineStr">
        <is>
          <t>LM30%, UN30%, CR40%</t>
        </is>
      </c>
      <c r="H38" s="0" t="inlineStr">
        <is>
          <t>RIPPING + SPREADING + COMPACTING + PERBAIKAN TANAH DASAR + BASECOURSE BARU + GRADING </t>
        </is>
      </c>
      <c r="I38" s="0" t="n">
        <v>684.0</v>
      </c>
      <c r="J38" s="0">
        <f>IF(E38="JU",Asumsi!$B$3,Asumsi!$B$4)</f>
      </c>
      <c r="K38" s="0">
        <f>I38*J38</f>
      </c>
      <c r="L38" s="0" t="n">
        <v>0</v>
      </c>
      <c r="M38" s="0" t="n">
        <v>0.3</v>
      </c>
      <c r="N38" s="0" t="n">
        <v>0.4</v>
      </c>
      <c r="O38" s="0" t="n">
        <v>0.3</v>
      </c>
      <c r="P38" s="0" t="n">
        <v>0</v>
      </c>
    </row>
    <row r="39">
      <c r="A39" s="0" t="inlineStr">
        <is>
          <t>36</t>
        </is>
      </c>
      <c r="B39" s="0" t="inlineStr">
        <is>
          <t>AFD 1</t>
        </is>
      </c>
      <c r="C39" s="0" t="inlineStr">
        <is>
          <t>RUSAK BERAT</t>
        </is>
      </c>
      <c r="D39" s="0" t="inlineStr">
        <is>
          <t>RB 13</t>
        </is>
      </c>
      <c r="E39" s="0" t="inlineStr">
        <is>
          <t>JP</t>
        </is>
      </c>
      <c r="F39" s="0" t="inlineStr">
        <is>
          <t>A3</t>
        </is>
      </c>
      <c r="G39" s="0" t="inlineStr">
        <is>
          <t>WS20%, LM30%, CR50%</t>
        </is>
      </c>
      <c r="H39" s="0" t="inlineStr">
        <is>
          <t>GRADING + DRAINASE + RIPPING + SPREADING + COMPACTING</t>
        </is>
      </c>
      <c r="I39" s="0" t="n">
        <v>467.0</v>
      </c>
      <c r="J39" s="0">
        <f>IF(E39="JU",Asumsi!$B$3,Asumsi!$B$4)</f>
      </c>
      <c r="K39" s="0">
        <f>I39*J39</f>
      </c>
      <c r="L39" s="0" t="n">
        <v>0.2</v>
      </c>
      <c r="M39" s="0" t="n">
        <v>0.3</v>
      </c>
      <c r="N39" s="0" t="n">
        <v>0.5</v>
      </c>
      <c r="O39" s="0" t="n">
        <v>0</v>
      </c>
      <c r="P39" s="0" t="n">
        <v>0</v>
      </c>
    </row>
    <row r="40">
      <c r="A40" s="0" t="inlineStr">
        <is>
          <t>37</t>
        </is>
      </c>
      <c r="B40" s="0" t="inlineStr">
        <is>
          <t>AFD 1</t>
        </is>
      </c>
      <c r="C40" s="0" t="inlineStr">
        <is>
          <t>RUSAK BERAT</t>
        </is>
      </c>
      <c r="D40" s="0" t="inlineStr">
        <is>
          <t>RB 14</t>
        </is>
      </c>
      <c r="E40" s="0" t="inlineStr">
        <is>
          <t>JPN</t>
        </is>
      </c>
      <c r="F40" s="0" t="inlineStr">
        <is>
          <t>A27</t>
        </is>
      </c>
      <c r="G40" s="0" t="inlineStr">
        <is>
          <t>LM40%, UN30%, CR30%</t>
        </is>
      </c>
      <c r="H40" s="0" t="inlineStr">
        <is>
          <t>RIPPING + SPREADING + COMPACTING + PERBAIKAN TANAH DASAR + BASECOURSE BARU + GRADING </t>
        </is>
      </c>
      <c r="I40" s="0" t="n">
        <v>491.0</v>
      </c>
      <c r="J40" s="0">
        <f>IF(E40="JU",Asumsi!$B$3,Asumsi!$B$4)</f>
      </c>
      <c r="K40" s="0">
        <f>I40*J40</f>
      </c>
      <c r="L40" s="0" t="n">
        <v>0</v>
      </c>
      <c r="M40" s="0" t="n">
        <v>0.4</v>
      </c>
      <c r="N40" s="0" t="n">
        <v>0.3</v>
      </c>
      <c r="O40" s="0" t="n">
        <v>0.3</v>
      </c>
      <c r="P40" s="0" t="n">
        <v>0</v>
      </c>
    </row>
    <row r="41">
      <c r="A41" s="0" t="inlineStr">
        <is>
          <t>1</t>
        </is>
      </c>
      <c r="B41" s="0" t="inlineStr">
        <is>
          <t>AFD 2</t>
        </is>
      </c>
      <c r="C41" s="0" t="inlineStr">
        <is>
          <t>RUSAK SEDANG</t>
        </is>
      </c>
      <c r="D41" s="0" t="inlineStr">
        <is>
          <t>RS 1</t>
        </is>
      </c>
      <c r="E41" s="0" t="inlineStr">
        <is>
          <t>JP</t>
        </is>
      </c>
      <c r="F41" s="0" t="inlineStr">
        <is>
          <t>B5</t>
        </is>
      </c>
      <c r="G41" s="0" t="inlineStr">
        <is>
          <t>LM40%, CR 60%</t>
        </is>
      </c>
      <c r="H41" s="0" t="inlineStr">
        <is>
          <t>RIPPING + SPREADING + COMPACTING + GRADING</t>
        </is>
      </c>
      <c r="I41" s="0" t="n">
        <v>628.0</v>
      </c>
      <c r="J41" s="0">
        <f>IF(E41="JU",Asumsi!$B$3,Asumsi!$B$4)</f>
      </c>
      <c r="K41" s="0">
        <f>I41*J41</f>
      </c>
      <c r="L41" s="0" t="n">
        <v>0</v>
      </c>
      <c r="M41" s="0" t="n">
        <v>0.4</v>
      </c>
      <c r="N41" s="0" t="n">
        <v>0.6</v>
      </c>
      <c r="O41" s="0" t="n">
        <v>0</v>
      </c>
      <c r="P41" s="0" t="n">
        <v>0</v>
      </c>
    </row>
    <row r="42">
      <c r="A42" s="0" t="inlineStr">
        <is>
          <t>2</t>
        </is>
      </c>
      <c r="B42" s="0" t="inlineStr">
        <is>
          <t>AFD 2</t>
        </is>
      </c>
      <c r="C42" s="0" t="inlineStr">
        <is>
          <t>RUSAK SEDANG</t>
        </is>
      </c>
      <c r="D42" s="0" t="inlineStr">
        <is>
          <t>RS 2</t>
        </is>
      </c>
      <c r="E42" s="0" t="inlineStr">
        <is>
          <t>JU</t>
        </is>
      </c>
      <c r="F42" s="0" t="inlineStr">
        <is>
          <t>B3</t>
        </is>
      </c>
      <c r="G42" s="0" t="inlineStr">
        <is>
          <t>LM50%, CR50%</t>
        </is>
      </c>
      <c r="H42" s="0" t="inlineStr">
        <is>
          <t>RIPPING + SPREADING + COMPACTING + GRADING</t>
        </is>
      </c>
      <c r="I42" s="0" t="n">
        <v>575.0</v>
      </c>
      <c r="J42" s="0">
        <f>IF(E42="JU",Asumsi!$B$3,Asumsi!$B$4)</f>
      </c>
      <c r="K42" s="0">
        <f>I42*J42</f>
      </c>
      <c r="L42" s="0" t="n">
        <v>0</v>
      </c>
      <c r="M42" s="0" t="n">
        <v>0.5</v>
      </c>
      <c r="N42" s="0" t="n">
        <v>0.5</v>
      </c>
      <c r="O42" s="0" t="n">
        <v>0</v>
      </c>
      <c r="P42" s="0" t="n">
        <v>0</v>
      </c>
    </row>
    <row r="43">
      <c r="A43" s="0" t="inlineStr">
        <is>
          <t>3</t>
        </is>
      </c>
      <c r="B43" s="0" t="inlineStr">
        <is>
          <t>AFD 2</t>
        </is>
      </c>
      <c r="C43" s="0" t="inlineStr">
        <is>
          <t>RUSAK SEDANG</t>
        </is>
      </c>
      <c r="D43" s="0" t="inlineStr">
        <is>
          <t>RS 3</t>
        </is>
      </c>
      <c r="E43" s="0" t="inlineStr">
        <is>
          <t>JP</t>
        </is>
      </c>
      <c r="F43" s="0" t="inlineStr">
        <is>
          <t>B13</t>
        </is>
      </c>
      <c r="G43" s="0" t="inlineStr">
        <is>
          <t>WS10%, LM40%, CR50%</t>
        </is>
      </c>
      <c r="H43" s="0" t="inlineStr">
        <is>
          <t>GRADING + DRAINASE + RIPPING + SPREADING + COMPACTING</t>
        </is>
      </c>
      <c r="I43" s="0" t="n">
        <v>1450.0</v>
      </c>
      <c r="J43" s="0">
        <f>IF(E43="JU",Asumsi!$B$3,Asumsi!$B$4)</f>
      </c>
      <c r="K43" s="0">
        <f>I43*J43</f>
      </c>
      <c r="L43" s="0" t="n">
        <v>0.1</v>
      </c>
      <c r="M43" s="0" t="n">
        <v>0.4</v>
      </c>
      <c r="N43" s="0" t="n">
        <v>0.5</v>
      </c>
      <c r="O43" s="0" t="n">
        <v>0</v>
      </c>
      <c r="P43" s="0" t="n">
        <v>0</v>
      </c>
    </row>
    <row r="44">
      <c r="A44" s="0" t="inlineStr">
        <is>
          <t>4</t>
        </is>
      </c>
      <c r="B44" s="0" t="inlineStr">
        <is>
          <t>AFD 2</t>
        </is>
      </c>
      <c r="C44" s="0" t="inlineStr">
        <is>
          <t>RUSAK SEDANG</t>
        </is>
      </c>
      <c r="D44" s="0" t="inlineStr">
        <is>
          <t>RS 4</t>
        </is>
      </c>
      <c r="E44" s="0" t="inlineStr">
        <is>
          <t>JP</t>
        </is>
      </c>
      <c r="F44" s="0" t="inlineStr">
        <is>
          <t>B15</t>
        </is>
      </c>
      <c r="G44" s="0" t="inlineStr">
        <is>
          <t>LM50%, CR50%</t>
        </is>
      </c>
      <c r="H44" s="0" t="inlineStr">
        <is>
          <t>RIPPING + SPREADING + COMPACTING + GRADING</t>
        </is>
      </c>
      <c r="I44" s="0" t="n">
        <v>430.0</v>
      </c>
      <c r="J44" s="0">
        <f>IF(E44="JU",Asumsi!$B$3,Asumsi!$B$4)</f>
      </c>
      <c r="K44" s="0">
        <f>I44*J44</f>
      </c>
      <c r="L44" s="0" t="n">
        <v>0</v>
      </c>
      <c r="M44" s="0" t="n">
        <v>0.5</v>
      </c>
      <c r="N44" s="0" t="n">
        <v>0.5</v>
      </c>
      <c r="O44" s="0" t="n">
        <v>0</v>
      </c>
      <c r="P44" s="0" t="n">
        <v>0</v>
      </c>
    </row>
    <row r="45">
      <c r="A45" s="0" t="inlineStr">
        <is>
          <t>5</t>
        </is>
      </c>
      <c r="B45" s="0" t="inlineStr">
        <is>
          <t>AFD 2</t>
        </is>
      </c>
      <c r="C45" s="0" t="inlineStr">
        <is>
          <t>RUSAK SEDANG</t>
        </is>
      </c>
      <c r="D45" s="0" t="inlineStr">
        <is>
          <t>RS 5</t>
        </is>
      </c>
      <c r="E45" s="0" t="inlineStr">
        <is>
          <t>JP</t>
        </is>
      </c>
      <c r="F45" s="0" t="inlineStr">
        <is>
          <t>B10</t>
        </is>
      </c>
      <c r="G45" s="0" t="inlineStr">
        <is>
          <t>WS10%, CR90%</t>
        </is>
      </c>
      <c r="H45" s="0" t="inlineStr">
        <is>
          <t>GRADING + DRAINASE + COMPACTING</t>
        </is>
      </c>
      <c r="I45" s="0" t="n">
        <v>705.0</v>
      </c>
      <c r="J45" s="0">
        <f>IF(E45="JU",Asumsi!$B$3,Asumsi!$B$4)</f>
      </c>
      <c r="K45" s="0">
        <f>I45*J45</f>
      </c>
      <c r="L45" s="0" t="n">
        <v>0.1</v>
      </c>
      <c r="M45" s="0" t="n">
        <v>0</v>
      </c>
      <c r="N45" s="0" t="n">
        <v>0.9</v>
      </c>
      <c r="O45" s="0" t="n">
        <v>0</v>
      </c>
      <c r="P45" s="0" t="n">
        <v>0</v>
      </c>
    </row>
    <row r="46">
      <c r="A46" s="0" t="inlineStr">
        <is>
          <t>7</t>
        </is>
      </c>
      <c r="B46" s="0" t="inlineStr">
        <is>
          <t>AFD 2</t>
        </is>
      </c>
      <c r="C46" s="0" t="inlineStr">
        <is>
          <t>RUSAK SEDANG</t>
        </is>
      </c>
      <c r="D46" s="0" t="inlineStr">
        <is>
          <t>RS 6</t>
        </is>
      </c>
      <c r="E46" s="0" t="inlineStr">
        <is>
          <t>JP</t>
        </is>
      </c>
      <c r="F46" s="0" t="inlineStr">
        <is>
          <t>B9</t>
        </is>
      </c>
      <c r="G46" s="0" t="inlineStr">
        <is>
          <t>LM50%, UN50%</t>
        </is>
      </c>
      <c r="H46" s="0" t="inlineStr">
        <is>
          <t>RIPPING + SPREADING + COMPACTING + PERBAIKAN TANAH DASAR + BASECOURSE BARU</t>
        </is>
      </c>
      <c r="I46" s="0" t="n">
        <v>565.0</v>
      </c>
      <c r="J46" s="0">
        <f>IF(E46="JU",Asumsi!$B$3,Asumsi!$B$4)</f>
      </c>
      <c r="K46" s="0">
        <f>I46*J46</f>
      </c>
      <c r="L46" s="0" t="n">
        <v>0</v>
      </c>
      <c r="M46" s="0" t="n">
        <v>0.5</v>
      </c>
      <c r="N46" s="0" t="n">
        <v>0</v>
      </c>
      <c r="O46" s="0" t="n">
        <v>0.5</v>
      </c>
      <c r="P46" s="0" t="n">
        <v>0</v>
      </c>
    </row>
    <row r="47">
      <c r="A47" s="0" t="inlineStr">
        <is>
          <t>1</t>
        </is>
      </c>
      <c r="B47" s="0" t="inlineStr">
        <is>
          <t>AFD 3</t>
        </is>
      </c>
      <c r="C47" s="0" t="inlineStr">
        <is>
          <t>RUSAK SEDANG</t>
        </is>
      </c>
      <c r="D47" s="0" t="inlineStr">
        <is>
          <t>RS 1</t>
        </is>
      </c>
      <c r="E47" s="0" t="inlineStr">
        <is>
          <t>JU</t>
        </is>
      </c>
      <c r="F47" s="0" t="inlineStr">
        <is>
          <t>C19</t>
        </is>
      </c>
      <c r="G47" s="0" t="inlineStr">
        <is>
          <t>LM50%, UN50%</t>
        </is>
      </c>
      <c r="H47" s="0" t="inlineStr">
        <is>
          <t>RIPPING + SPREADING + COMPACTING + PERBAIKAN TANAH DASAR + BASECOURSE BARU</t>
        </is>
      </c>
      <c r="I47" s="0" t="n">
        <v>811.0</v>
      </c>
      <c r="J47" s="0">
        <f>IF(E47="JU",Asumsi!$B$3,Asumsi!$B$4)</f>
      </c>
      <c r="K47" s="0">
        <f>I47*J47</f>
      </c>
      <c r="L47" s="0" t="n">
        <v>0</v>
      </c>
      <c r="M47" s="0" t="n">
        <v>0.5</v>
      </c>
      <c r="N47" s="0" t="n">
        <v>0</v>
      </c>
      <c r="O47" s="0" t="n">
        <v>0.5</v>
      </c>
      <c r="P47" s="0" t="n">
        <v>0</v>
      </c>
    </row>
    <row r="48">
      <c r="A48" s="0" t="inlineStr">
        <is>
          <t>2</t>
        </is>
      </c>
      <c r="B48" s="0" t="inlineStr">
        <is>
          <t>AFD 3</t>
        </is>
      </c>
      <c r="C48" s="0" t="inlineStr">
        <is>
          <t>RUSAK SEDANG</t>
        </is>
      </c>
      <c r="D48" s="0" t="inlineStr">
        <is>
          <t>RS 2</t>
        </is>
      </c>
      <c r="E48" s="0" t="inlineStr">
        <is>
          <t>JU</t>
        </is>
      </c>
      <c r="F48" s="0" t="inlineStr">
        <is>
          <t>C17</t>
        </is>
      </c>
      <c r="G48" s="0" t="inlineStr">
        <is>
          <t>LM40%, CR60%</t>
        </is>
      </c>
      <c r="H48" s="0" t="inlineStr">
        <is>
          <t>RIPPING + SPREADING + COMPACTING + GRADING</t>
        </is>
      </c>
      <c r="I48" s="0" t="n">
        <v>748.0</v>
      </c>
      <c r="J48" s="0">
        <f>IF(E48="JU",Asumsi!$B$3,Asumsi!$B$4)</f>
      </c>
      <c r="K48" s="0">
        <f>I48*J48</f>
      </c>
      <c r="L48" s="0" t="n">
        <v>0</v>
      </c>
      <c r="M48" s="0" t="n">
        <v>0.4</v>
      </c>
      <c r="N48" s="0" t="n">
        <v>0.6</v>
      </c>
      <c r="O48" s="0" t="n">
        <v>0</v>
      </c>
      <c r="P48" s="0" t="n">
        <v>0</v>
      </c>
    </row>
    <row r="49">
      <c r="A49" s="0" t="inlineStr">
        <is>
          <t>3</t>
        </is>
      </c>
      <c r="B49" s="0" t="inlineStr">
        <is>
          <t>AFD 3</t>
        </is>
      </c>
      <c r="C49" s="0" t="inlineStr">
        <is>
          <t>RUSAK SEDANG</t>
        </is>
      </c>
      <c r="D49" s="0" t="inlineStr">
        <is>
          <t>RS 3</t>
        </is>
      </c>
      <c r="E49" s="0" t="inlineStr">
        <is>
          <t>JU</t>
        </is>
      </c>
      <c r="F49" s="0" t="inlineStr">
        <is>
          <t>C8</t>
        </is>
      </c>
      <c r="G49" s="0" t="inlineStr">
        <is>
          <t>LM30%, CR 70%</t>
        </is>
      </c>
      <c r="H49" s="0" t="inlineStr">
        <is>
          <t>RIPPING + SPREADING + COMPACTING + GRADING</t>
        </is>
      </c>
      <c r="I49" s="0" t="n">
        <v>637.0</v>
      </c>
      <c r="J49" s="0">
        <f>IF(E49="JU",Asumsi!$B$3,Asumsi!$B$4)</f>
      </c>
      <c r="K49" s="0">
        <f>I49*J49</f>
      </c>
      <c r="L49" s="0" t="n">
        <v>0</v>
      </c>
      <c r="M49" s="0" t="n">
        <v>0.3</v>
      </c>
      <c r="N49" s="0" t="n">
        <v>0.7</v>
      </c>
      <c r="O49" s="0" t="n">
        <v>0</v>
      </c>
      <c r="P49" s="0" t="n">
        <v>0</v>
      </c>
    </row>
    <row r="50">
      <c r="A50" s="0" t="inlineStr">
        <is>
          <t>4</t>
        </is>
      </c>
      <c r="B50" s="0" t="inlineStr">
        <is>
          <t>AFD 3</t>
        </is>
      </c>
      <c r="C50" s="0" t="inlineStr">
        <is>
          <t>RUSAK SEDANG</t>
        </is>
      </c>
      <c r="D50" s="0" t="inlineStr">
        <is>
          <t>RS 4</t>
        </is>
      </c>
      <c r="E50" s="0" t="inlineStr">
        <is>
          <t>JU</t>
        </is>
      </c>
      <c r="F50" s="0" t="inlineStr">
        <is>
          <t>C9</t>
        </is>
      </c>
      <c r="G50" s="0" t="inlineStr">
        <is>
          <t>WS10%, LM40%, CR50%</t>
        </is>
      </c>
      <c r="H50" s="0" t="inlineStr">
        <is>
          <t>GRADING + DRAINASE + RIPPING + SPREADING + COMPACTING</t>
        </is>
      </c>
      <c r="I50" s="0" t="n">
        <v>520.0</v>
      </c>
      <c r="J50" s="0">
        <f>IF(E50="JU",Asumsi!$B$3,Asumsi!$B$4)</f>
      </c>
      <c r="K50" s="0">
        <f>I50*J50</f>
      </c>
      <c r="L50" s="0" t="n">
        <v>0.1</v>
      </c>
      <c r="M50" s="0" t="n">
        <v>0.4</v>
      </c>
      <c r="N50" s="0" t="n">
        <v>0.5</v>
      </c>
      <c r="O50" s="0" t="n">
        <v>0</v>
      </c>
      <c r="P50" s="0" t="n">
        <v>0</v>
      </c>
    </row>
    <row r="51">
      <c r="A51" s="0" t="inlineStr">
        <is>
          <t>5</t>
        </is>
      </c>
      <c r="B51" s="0" t="inlineStr">
        <is>
          <t>AFD 3</t>
        </is>
      </c>
      <c r="C51" s="0" t="inlineStr">
        <is>
          <t>RUSAK SEDANG</t>
        </is>
      </c>
      <c r="D51" s="0" t="inlineStr">
        <is>
          <t>RS 5</t>
        </is>
      </c>
      <c r="E51" s="0" t="inlineStr">
        <is>
          <t>JU</t>
        </is>
      </c>
      <c r="F51" s="0" t="inlineStr">
        <is>
          <t>C21</t>
        </is>
      </c>
      <c r="G51" s="0" t="inlineStr">
        <is>
          <t>WS10%, LM40%, CR50%</t>
        </is>
      </c>
      <c r="H51" s="0" t="inlineStr">
        <is>
          <t>GRADING + DRAINASE + RIPPING + SPREADING + COMPACTING</t>
        </is>
      </c>
      <c r="I51" s="0" t="n">
        <v>264.0</v>
      </c>
      <c r="J51" s="0">
        <f>IF(E51="JU",Asumsi!$B$3,Asumsi!$B$4)</f>
      </c>
      <c r="K51" s="0">
        <f>I51*J51</f>
      </c>
      <c r="L51" s="0" t="n">
        <v>0.1</v>
      </c>
      <c r="M51" s="0" t="n">
        <v>0.4</v>
      </c>
      <c r="N51" s="0" t="n">
        <v>0.5</v>
      </c>
      <c r="O51" s="0" t="n">
        <v>0</v>
      </c>
      <c r="P51" s="0" t="n">
        <v>0</v>
      </c>
    </row>
    <row r="52">
      <c r="A52" s="0" t="inlineStr">
        <is>
          <t>6</t>
        </is>
      </c>
      <c r="B52" s="0" t="inlineStr">
        <is>
          <t>AFD 3</t>
        </is>
      </c>
      <c r="C52" s="0" t="inlineStr">
        <is>
          <t>RUSAK SEDANG</t>
        </is>
      </c>
      <c r="D52" s="0" t="inlineStr">
        <is>
          <t>RS 6</t>
        </is>
      </c>
      <c r="E52" s="0" t="inlineStr">
        <is>
          <t>JP</t>
        </is>
      </c>
      <c r="F52" s="0" t="inlineStr">
        <is>
          <t>C5</t>
        </is>
      </c>
      <c r="G52" s="0" t="inlineStr">
        <is>
          <t>LM30%, CR 70%</t>
        </is>
      </c>
      <c r="H52" s="0" t="inlineStr">
        <is>
          <t>RIPPING + SPREADING + COMPACTING + GRADING</t>
        </is>
      </c>
      <c r="I52" s="0" t="n">
        <v>1340.0</v>
      </c>
      <c r="J52" s="0">
        <f>IF(E52="JU",Asumsi!$B$3,Asumsi!$B$4)</f>
      </c>
      <c r="K52" s="0">
        <f>I52*J52</f>
      </c>
      <c r="L52" s="0" t="n">
        <v>0</v>
      </c>
      <c r="M52" s="0" t="n">
        <v>0.3</v>
      </c>
      <c r="N52" s="0" t="n">
        <v>0.7</v>
      </c>
      <c r="O52" s="0" t="n">
        <v>0</v>
      </c>
      <c r="P52" s="0" t="n">
        <v>0</v>
      </c>
    </row>
    <row r="53">
      <c r="A53" s="0" t="inlineStr">
        <is>
          <t>17</t>
        </is>
      </c>
      <c r="B53" s="0" t="inlineStr">
        <is>
          <t>AFD 3</t>
        </is>
      </c>
      <c r="C53" s="0" t="inlineStr">
        <is>
          <t>RUSAK BERAT</t>
        </is>
      </c>
      <c r="D53" s="0" t="inlineStr">
        <is>
          <t>RB 4</t>
        </is>
      </c>
      <c r="E53" s="0" t="inlineStr">
        <is>
          <t>JP</t>
        </is>
      </c>
      <c r="F53" s="0" t="inlineStr">
        <is>
          <t>C21</t>
        </is>
      </c>
      <c r="G53" s="0" t="inlineStr">
        <is>
          <t>WS30%, CR30%, LM40%</t>
        </is>
      </c>
      <c r="H53" s="0" t="inlineStr">
        <is>
          <t>GRADING + DRAINASE + COMPACTING + RIPPING + SPREADING</t>
        </is>
      </c>
      <c r="I53" s="0" t="n">
        <v>820.0</v>
      </c>
      <c r="J53" s="0">
        <f>IF(E53="JU",Asumsi!$B$3,Asumsi!$B$4)</f>
      </c>
      <c r="K53" s="0">
        <f>I53*J53</f>
      </c>
      <c r="L53" s="0" t="n">
        <v>0.3</v>
      </c>
      <c r="M53" s="0" t="n">
        <v>0.4</v>
      </c>
      <c r="N53" s="0" t="n">
        <v>0.3</v>
      </c>
      <c r="O53" s="0" t="n">
        <v>0</v>
      </c>
      <c r="P53" s="0" t="n">
        <v>0</v>
      </c>
    </row>
    <row r="54">
      <c r="A54" s="0" t="inlineStr">
        <is>
          <t>18</t>
        </is>
      </c>
      <c r="B54" s="0" t="inlineStr">
        <is>
          <t>AFD 3</t>
        </is>
      </c>
      <c r="C54" s="0" t="inlineStr">
        <is>
          <t>RUSAK BERAT</t>
        </is>
      </c>
      <c r="D54" s="0" t="inlineStr">
        <is>
          <t>RB 5</t>
        </is>
      </c>
      <c r="E54" s="0" t="inlineStr">
        <is>
          <t>JP</t>
        </is>
      </c>
      <c r="F54" s="0" t="inlineStr">
        <is>
          <t>C20</t>
        </is>
      </c>
      <c r="G54" s="0" t="inlineStr">
        <is>
          <t>WS20%, CR30%, LM50%</t>
        </is>
      </c>
      <c r="H54" s="0" t="inlineStr">
        <is>
          <t>GRADING + DRAINASE + COMPACTING + RIPPING + SPREADING + SEMENISASI</t>
        </is>
      </c>
      <c r="I54" s="0" t="n">
        <v>416.0</v>
      </c>
      <c r="J54" s="0">
        <f>IF(E54="JU",Asumsi!$B$3,Asumsi!$B$4)</f>
      </c>
      <c r="K54" s="0">
        <f>I54*J54</f>
      </c>
      <c r="L54" s="0" t="n">
        <v>0.2</v>
      </c>
      <c r="M54" s="0" t="n">
        <v>0.5</v>
      </c>
      <c r="N54" s="0" t="n">
        <v>0.3</v>
      </c>
      <c r="O54" s="0" t="n">
        <v>0</v>
      </c>
      <c r="P54" s="0" t="n">
        <v>0</v>
      </c>
    </row>
    <row r="55">
      <c r="A55" s="0" t="inlineStr">
        <is>
          <t>19</t>
        </is>
      </c>
      <c r="B55" s="0" t="inlineStr">
        <is>
          <t>AFD 3</t>
        </is>
      </c>
      <c r="C55" s="0" t="inlineStr">
        <is>
          <t>RUSAK BERAT</t>
        </is>
      </c>
      <c r="D55" s="0" t="inlineStr">
        <is>
          <t>RB 6</t>
        </is>
      </c>
      <c r="E55" s="0" t="inlineStr">
        <is>
          <t>JU</t>
        </is>
      </c>
      <c r="F55" s="0" t="inlineStr">
        <is>
          <t>C1</t>
        </is>
      </c>
      <c r="G55" s="0" t="inlineStr">
        <is>
          <t>WS20%, CR80%</t>
        </is>
      </c>
      <c r="H55" s="0" t="inlineStr">
        <is>
          <t>GRADING + DRAINASE + COMPACTING</t>
        </is>
      </c>
      <c r="I55" s="0" t="n">
        <v>1020.0</v>
      </c>
      <c r="J55" s="0">
        <f>IF(E55="JU",Asumsi!$B$3,Asumsi!$B$4)</f>
      </c>
      <c r="K55" s="0">
        <f>I55*J55</f>
      </c>
      <c r="L55" s="0" t="n">
        <v>0.2</v>
      </c>
      <c r="M55" s="0" t="n">
        <v>0</v>
      </c>
      <c r="N55" s="0" t="n">
        <v>0.8</v>
      </c>
      <c r="O55" s="0" t="n">
        <v>0</v>
      </c>
      <c r="P55" s="0" t="n">
        <v>0</v>
      </c>
    </row>
    <row r="56">
      <c r="A56" s="0" t="inlineStr">
        <is>
          <t>20</t>
        </is>
      </c>
      <c r="B56" s="0" t="inlineStr">
        <is>
          <t>AFD 3</t>
        </is>
      </c>
      <c r="C56" s="0" t="inlineStr">
        <is>
          <t>RUSAK BERAT</t>
        </is>
      </c>
      <c r="D56" s="0" t="inlineStr">
        <is>
          <t>RB 7</t>
        </is>
      </c>
      <c r="E56" s="0" t="inlineStr">
        <is>
          <t>JP</t>
        </is>
      </c>
      <c r="F56" s="0" t="inlineStr">
        <is>
          <t>C14</t>
        </is>
      </c>
      <c r="G56" s="0" t="inlineStr">
        <is>
          <t>WS10%, LM30%, CR60%</t>
        </is>
      </c>
      <c r="H56" s="0" t="inlineStr">
        <is>
          <t>GRADING + DRAINASE + RIPPING + SPREADING + COMPACTING</t>
        </is>
      </c>
      <c r="I56" s="0" t="n">
        <v>820.0</v>
      </c>
      <c r="J56" s="0">
        <f>IF(E56="JU",Asumsi!$B$3,Asumsi!$B$4)</f>
      </c>
      <c r="K56" s="0">
        <f>I56*J56</f>
      </c>
      <c r="L56" s="0" t="n">
        <v>0.1</v>
      </c>
      <c r="M56" s="0" t="n">
        <v>0.3</v>
      </c>
      <c r="N56" s="0" t="n">
        <v>0.6</v>
      </c>
      <c r="O56" s="0" t="n">
        <v>0</v>
      </c>
      <c r="P56" s="0" t="n">
        <v>0</v>
      </c>
    </row>
    <row r="57">
      <c r="A57" s="0" t="inlineStr">
        <is>
          <t>21</t>
        </is>
      </c>
      <c r="B57" s="0" t="inlineStr">
        <is>
          <t>AFD 3</t>
        </is>
      </c>
      <c r="C57" s="0" t="inlineStr">
        <is>
          <t>RUSAK BERAT</t>
        </is>
      </c>
      <c r="D57" s="0" t="inlineStr">
        <is>
          <t>RB 8</t>
        </is>
      </c>
      <c r="E57" s="0" t="inlineStr">
        <is>
          <t>JU</t>
        </is>
      </c>
      <c r="F57" s="0" t="inlineStr">
        <is>
          <t>C16</t>
        </is>
      </c>
      <c r="G57" s="0" t="inlineStr">
        <is>
          <t>LM50%, CR50%</t>
        </is>
      </c>
      <c r="H57" s="0" t="inlineStr">
        <is>
          <t>RIPPING + SPREADING + COMPACTING + PERBAIKAN TANAH DASAR + BASECOURSE BARU + GRADING </t>
        </is>
      </c>
      <c r="I57" s="0" t="n">
        <v>606.0</v>
      </c>
      <c r="J57" s="0">
        <f>IF(E57="JU",Asumsi!$B$3,Asumsi!$B$4)</f>
      </c>
      <c r="K57" s="0">
        <f>I57*J57</f>
      </c>
      <c r="L57" s="0" t="n">
        <v>0</v>
      </c>
      <c r="M57" s="0" t="n">
        <v>0.5</v>
      </c>
      <c r="N57" s="0" t="n">
        <v>0.5</v>
      </c>
      <c r="O57" s="0" t="n">
        <v>0</v>
      </c>
      <c r="P57" s="0" t="n">
        <v>0</v>
      </c>
    </row>
    <row r="58">
      <c r="A58" s="0" t="inlineStr">
        <is>
          <t>22</t>
        </is>
      </c>
      <c r="B58" s="0" t="inlineStr">
        <is>
          <t>AFD 3</t>
        </is>
      </c>
      <c r="C58" s="0" t="inlineStr">
        <is>
          <t>RUSAK BERAT</t>
        </is>
      </c>
      <c r="D58" s="0" t="inlineStr">
        <is>
          <t>RB 9</t>
        </is>
      </c>
      <c r="E58" s="0" t="inlineStr">
        <is>
          <t>JU</t>
        </is>
      </c>
      <c r="F58" s="0" t="inlineStr">
        <is>
          <t>C13</t>
        </is>
      </c>
      <c r="G58" s="0" t="inlineStr">
        <is>
          <t>WS20%, LM30%, CR50%</t>
        </is>
      </c>
      <c r="H58" s="0" t="inlineStr">
        <is>
          <t>RIPPING + SPREADING + COMPACTING + PERBAIKAN TANAH DASAR + BASECOURSE BARU + GRADING </t>
        </is>
      </c>
      <c r="I58" s="0" t="n">
        <v>517.0</v>
      </c>
      <c r="J58" s="0">
        <f>IF(E58="JU",Asumsi!$B$3,Asumsi!$B$4)</f>
      </c>
      <c r="K58" s="0">
        <f>I58*J58</f>
      </c>
      <c r="L58" s="0" t="n">
        <v>0.2</v>
      </c>
      <c r="M58" s="0" t="n">
        <v>0.3</v>
      </c>
      <c r="N58" s="0" t="n">
        <v>0.5</v>
      </c>
      <c r="O58" s="0" t="n">
        <v>0</v>
      </c>
      <c r="P58" s="0" t="n">
        <v>0</v>
      </c>
    </row>
    <row r="59">
      <c r="A59" s="0" t="inlineStr">
        <is>
          <t>1</t>
        </is>
      </c>
      <c r="B59" s="0" t="inlineStr">
        <is>
          <t>AFD 4</t>
        </is>
      </c>
      <c r="C59" s="0" t="inlineStr">
        <is>
          <t>RUSAK SEDANG</t>
        </is>
      </c>
      <c r="D59" s="0" t="inlineStr">
        <is>
          <t>RS 1</t>
        </is>
      </c>
      <c r="E59" s="0" t="inlineStr">
        <is>
          <t>JP</t>
        </is>
      </c>
      <c r="F59" s="0" t="inlineStr">
        <is>
          <t>D17</t>
        </is>
      </c>
      <c r="G59" s="0" t="inlineStr">
        <is>
          <t>WS20%, CR80%</t>
        </is>
      </c>
      <c r="H59" s="0" t="inlineStr">
        <is>
          <t>GRADING + DRAINASE + COMPACTING</t>
        </is>
      </c>
      <c r="I59" s="0" t="n">
        <v>789.0</v>
      </c>
      <c r="J59" s="0">
        <f>IF(E59="JU",Asumsi!$B$3,Asumsi!$B$4)</f>
      </c>
      <c r="K59" s="0">
        <f>I59*J59</f>
      </c>
      <c r="L59" s="0" t="n">
        <v>0.2</v>
      </c>
      <c r="M59" s="0" t="n">
        <v>0</v>
      </c>
      <c r="N59" s="0" t="n">
        <v>0.8</v>
      </c>
      <c r="O59" s="0" t="n">
        <v>0</v>
      </c>
      <c r="P59" s="0" t="n">
        <v>0</v>
      </c>
    </row>
    <row r="60">
      <c r="A60" s="0" t="inlineStr">
        <is>
          <t>2</t>
        </is>
      </c>
      <c r="B60" s="0" t="inlineStr">
        <is>
          <t>AFD 4</t>
        </is>
      </c>
      <c r="C60" s="0" t="inlineStr">
        <is>
          <t>RUSAK SEDANG</t>
        </is>
      </c>
      <c r="D60" s="0" t="inlineStr">
        <is>
          <t>RS 2</t>
        </is>
      </c>
      <c r="E60" s="0" t="inlineStr">
        <is>
          <t>JP</t>
        </is>
      </c>
      <c r="F60" s="0" t="inlineStr">
        <is>
          <t>D14</t>
        </is>
      </c>
      <c r="G60" s="0" t="inlineStr">
        <is>
          <t>WS10%, LM40%, CR50%</t>
        </is>
      </c>
      <c r="H60" s="0" t="inlineStr">
        <is>
          <t>GRADING + DRAINASE + RIPPING + SPREADING + COMPACTING</t>
        </is>
      </c>
      <c r="I60" s="0" t="n">
        <v>373.0</v>
      </c>
      <c r="J60" s="0">
        <f>IF(E60="JU",Asumsi!$B$3,Asumsi!$B$4)</f>
      </c>
      <c r="K60" s="0">
        <f>I60*J60</f>
      </c>
      <c r="L60" s="0" t="n">
        <v>0.1</v>
      </c>
      <c r="M60" s="0" t="n">
        <v>0.4</v>
      </c>
      <c r="N60" s="0" t="n">
        <v>0.5</v>
      </c>
      <c r="O60" s="0" t="n">
        <v>0</v>
      </c>
      <c r="P60" s="0" t="n">
        <v>0</v>
      </c>
    </row>
    <row r="61">
      <c r="A61" s="0" t="inlineStr">
        <is>
          <t>3</t>
        </is>
      </c>
      <c r="B61" s="0" t="inlineStr">
        <is>
          <t>AFD 4</t>
        </is>
      </c>
      <c r="C61" s="0" t="inlineStr">
        <is>
          <t>RUSAK SEDANG</t>
        </is>
      </c>
      <c r="D61" s="0" t="inlineStr">
        <is>
          <t>RS 3</t>
        </is>
      </c>
      <c r="E61" s="0" t="inlineStr">
        <is>
          <t>JP</t>
        </is>
      </c>
      <c r="F61" s="0" t="inlineStr">
        <is>
          <t>D10</t>
        </is>
      </c>
      <c r="G61" s="0" t="inlineStr">
        <is>
          <t>LM50%, CR50%</t>
        </is>
      </c>
      <c r="H61" s="0" t="inlineStr">
        <is>
          <t>RIPPING + SPREADING + COMPACTING + GRADING</t>
        </is>
      </c>
      <c r="I61" s="0" t="n">
        <v>365.0</v>
      </c>
      <c r="J61" s="0">
        <f>IF(E61="JU",Asumsi!$B$3,Asumsi!$B$4)</f>
      </c>
      <c r="K61" s="0">
        <f>I61*J61</f>
      </c>
      <c r="L61" s="0" t="n">
        <v>0</v>
      </c>
      <c r="M61" s="0" t="n">
        <v>0.5</v>
      </c>
      <c r="N61" s="0" t="n">
        <v>0.5</v>
      </c>
      <c r="O61" s="0" t="n">
        <v>0</v>
      </c>
      <c r="P61" s="0" t="n">
        <v>0</v>
      </c>
    </row>
    <row r="62">
      <c r="A62" s="0" t="inlineStr">
        <is>
          <t>4</t>
        </is>
      </c>
      <c r="B62" s="0" t="inlineStr">
        <is>
          <t>AFD 4</t>
        </is>
      </c>
      <c r="C62" s="0" t="inlineStr">
        <is>
          <t>RUSAK SEDANG</t>
        </is>
      </c>
      <c r="D62" s="0" t="inlineStr">
        <is>
          <t>RS 4</t>
        </is>
      </c>
      <c r="E62" s="0" t="inlineStr">
        <is>
          <t>JP</t>
        </is>
      </c>
      <c r="F62" s="0" t="inlineStr">
        <is>
          <t>D5</t>
        </is>
      </c>
      <c r="G62" s="0" t="inlineStr">
        <is>
          <t>WS10%, CR90%</t>
        </is>
      </c>
      <c r="H62" s="0" t="inlineStr">
        <is>
          <t>GRADING + DRAINASE + COMPACTING</t>
        </is>
      </c>
      <c r="I62" s="0" t="n">
        <v>761.0</v>
      </c>
      <c r="J62" s="0">
        <f>IF(E62="JU",Asumsi!$B$3,Asumsi!$B$4)</f>
      </c>
      <c r="K62" s="0">
        <f>I62*J62</f>
      </c>
      <c r="L62" s="0" t="n">
        <v>0.1</v>
      </c>
      <c r="M62" s="0" t="n">
        <v>0</v>
      </c>
      <c r="N62" s="0" t="n">
        <v>0.9</v>
      </c>
      <c r="O62" s="0" t="n">
        <v>0</v>
      </c>
      <c r="P62" s="0" t="n">
        <v>0</v>
      </c>
    </row>
    <row r="63">
      <c r="A63" s="0" t="inlineStr">
        <is>
          <t>5</t>
        </is>
      </c>
      <c r="B63" s="0" t="inlineStr">
        <is>
          <t>AFD 4</t>
        </is>
      </c>
      <c r="C63" s="0" t="inlineStr">
        <is>
          <t>RUSAK SEDANG</t>
        </is>
      </c>
      <c r="D63" s="0" t="inlineStr">
        <is>
          <t>RS 5</t>
        </is>
      </c>
      <c r="E63" s="0" t="inlineStr">
        <is>
          <t>JU</t>
        </is>
      </c>
      <c r="F63" s="0" t="inlineStr">
        <is>
          <t>D4</t>
        </is>
      </c>
      <c r="G63" s="0" t="inlineStr">
        <is>
          <t>LM40%, CR60%</t>
        </is>
      </c>
      <c r="H63" s="0" t="inlineStr">
        <is>
          <t>RIPPING + SPREADING + COMPACTING + GRADING</t>
        </is>
      </c>
      <c r="I63" s="0" t="n">
        <v>571.0</v>
      </c>
      <c r="J63" s="0">
        <f>IF(E63="JU",Asumsi!$B$3,Asumsi!$B$4)</f>
      </c>
      <c r="K63" s="0">
        <f>I63*J63</f>
      </c>
      <c r="L63" s="0" t="n">
        <v>0</v>
      </c>
      <c r="M63" s="0" t="n">
        <v>0.4</v>
      </c>
      <c r="N63" s="0" t="n">
        <v>0.6</v>
      </c>
      <c r="O63" s="0" t="n">
        <v>0</v>
      </c>
      <c r="P63" s="0" t="n">
        <v>0</v>
      </c>
    </row>
    <row r="64">
      <c r="A64" s="0" t="inlineStr">
        <is>
          <t>6</t>
        </is>
      </c>
      <c r="B64" s="0" t="inlineStr">
        <is>
          <t>AFD 4</t>
        </is>
      </c>
      <c r="C64" s="0" t="inlineStr">
        <is>
          <t>RUSAK SEDANG</t>
        </is>
      </c>
      <c r="D64" s="0" t="inlineStr">
        <is>
          <t>RS 6</t>
        </is>
      </c>
      <c r="E64" s="0" t="inlineStr">
        <is>
          <t>JP</t>
        </is>
      </c>
      <c r="F64" s="0" t="inlineStr">
        <is>
          <t>D11</t>
        </is>
      </c>
      <c r="G64" s="0" t="inlineStr">
        <is>
          <t>LM30%, CR 70%</t>
        </is>
      </c>
      <c r="H64" s="0" t="inlineStr">
        <is>
          <t>RIPPING + SPREADING + COMPACTING + GRADING</t>
        </is>
      </c>
      <c r="I64" s="0" t="n">
        <v>405.0</v>
      </c>
      <c r="J64" s="0">
        <f>IF(E64="JU",Asumsi!$B$3,Asumsi!$B$4)</f>
      </c>
      <c r="K64" s="0">
        <f>I64*J64</f>
      </c>
      <c r="L64" s="0" t="n">
        <v>0</v>
      </c>
      <c r="M64" s="0" t="n">
        <v>0.3</v>
      </c>
      <c r="N64" s="0" t="n">
        <v>0.7</v>
      </c>
      <c r="O64" s="0" t="n">
        <v>0</v>
      </c>
      <c r="P64" s="0" t="n">
        <v>0</v>
      </c>
    </row>
    <row r="65">
      <c r="A65" s="0" t="inlineStr">
        <is>
          <t>1</t>
        </is>
      </c>
      <c r="B65" s="0" t="inlineStr">
        <is>
          <t>AFD 5</t>
        </is>
      </c>
      <c r="C65" s="0" t="inlineStr">
        <is>
          <t>RUSAK SEDANG</t>
        </is>
      </c>
      <c r="D65" s="0" t="inlineStr">
        <is>
          <t>RS 1</t>
        </is>
      </c>
      <c r="E65" s="0" t="inlineStr">
        <is>
          <t>JP</t>
        </is>
      </c>
      <c r="F65" s="0" t="inlineStr">
        <is>
          <t>E2</t>
        </is>
      </c>
      <c r="G65" s="0" t="inlineStr">
        <is>
          <t>LM50%, UN50%</t>
        </is>
      </c>
      <c r="H65" s="0" t="inlineStr">
        <is>
          <t>RIPPING + SPREADING + COMPACTING + PERBAIKAN TANAH DASAR + BASECOURSE BARU</t>
        </is>
      </c>
      <c r="I65" s="0" t="n">
        <v>568.0</v>
      </c>
      <c r="J65" s="0">
        <f>IF(E65="JU",Asumsi!$B$3,Asumsi!$B$4)</f>
      </c>
      <c r="K65" s="0">
        <f>I65*J65</f>
      </c>
      <c r="L65" s="0" t="n">
        <v>0</v>
      </c>
      <c r="M65" s="0" t="n">
        <v>0.5</v>
      </c>
      <c r="N65" s="0" t="n">
        <v>0</v>
      </c>
      <c r="O65" s="0" t="n">
        <v>0.5</v>
      </c>
      <c r="P65" s="0" t="n">
        <v>0</v>
      </c>
    </row>
    <row r="66">
      <c r="A66" s="0" t="inlineStr">
        <is>
          <t>2</t>
        </is>
      </c>
      <c r="B66" s="0" t="inlineStr">
        <is>
          <t>AFD 5</t>
        </is>
      </c>
      <c r="C66" s="0" t="inlineStr">
        <is>
          <t>RUSAK SEDANG</t>
        </is>
      </c>
      <c r="D66" s="0" t="inlineStr">
        <is>
          <t>RS 2</t>
        </is>
      </c>
      <c r="E66" s="0" t="inlineStr">
        <is>
          <t>JP</t>
        </is>
      </c>
      <c r="F66" s="0" t="inlineStr">
        <is>
          <t>E1</t>
        </is>
      </c>
      <c r="G66" s="0" t="inlineStr">
        <is>
          <t>LM40%, CR60%</t>
        </is>
      </c>
      <c r="H66" s="0" t="inlineStr">
        <is>
          <t>RIPPING + SPREADING + COMPACTING + GRADING</t>
        </is>
      </c>
      <c r="I66" s="0" t="n">
        <v>1048.0</v>
      </c>
      <c r="J66" s="0">
        <f>IF(E66="JU",Asumsi!$B$3,Asumsi!$B$4)</f>
      </c>
      <c r="K66" s="0">
        <f>I66*J66</f>
      </c>
      <c r="L66" s="0" t="n">
        <v>0</v>
      </c>
      <c r="M66" s="0" t="n">
        <v>0.4</v>
      </c>
      <c r="N66" s="0" t="n">
        <v>0.6</v>
      </c>
      <c r="O66" s="0" t="n">
        <v>0</v>
      </c>
      <c r="P66" s="0" t="n">
        <v>0</v>
      </c>
    </row>
    <row r="67">
      <c r="A67" s="0" t="inlineStr">
        <is>
          <t>3</t>
        </is>
      </c>
      <c r="B67" s="0" t="inlineStr">
        <is>
          <t>AFD 5</t>
        </is>
      </c>
      <c r="C67" s="0" t="inlineStr">
        <is>
          <t>RUSAK SEDANG</t>
        </is>
      </c>
      <c r="D67" s="0" t="inlineStr">
        <is>
          <t>RS 3</t>
        </is>
      </c>
      <c r="E67" s="0" t="inlineStr">
        <is>
          <t>JP</t>
        </is>
      </c>
      <c r="F67" s="0" t="inlineStr">
        <is>
          <t>E3</t>
        </is>
      </c>
      <c r="G67" s="0" t="inlineStr">
        <is>
          <t>LM30%, CR 70%</t>
        </is>
      </c>
      <c r="H67" s="0" t="inlineStr">
        <is>
          <t>RIPPING + SPREADING + COMPACTING + GRADING</t>
        </is>
      </c>
      <c r="I67" s="0" t="n">
        <v>511.0</v>
      </c>
      <c r="J67" s="0">
        <f>IF(E67="JU",Asumsi!$B$3,Asumsi!$B$4)</f>
      </c>
      <c r="K67" s="0">
        <f>I67*J67</f>
      </c>
      <c r="L67" s="0" t="n">
        <v>0</v>
      </c>
      <c r="M67" s="0" t="n">
        <v>0.3</v>
      </c>
      <c r="N67" s="0" t="n">
        <v>0.7</v>
      </c>
      <c r="O67" s="0" t="n">
        <v>0</v>
      </c>
      <c r="P67" s="0" t="n">
        <v>0</v>
      </c>
    </row>
    <row r="68">
      <c r="A68" s="0" t="inlineStr">
        <is>
          <t>4</t>
        </is>
      </c>
      <c r="B68" s="0" t="inlineStr">
        <is>
          <t>AFD 5</t>
        </is>
      </c>
      <c r="C68" s="0" t="inlineStr">
        <is>
          <t>RUSAK SEDANG</t>
        </is>
      </c>
      <c r="D68" s="0" t="inlineStr">
        <is>
          <t>RS 4</t>
        </is>
      </c>
      <c r="E68" s="0" t="inlineStr">
        <is>
          <t>JP</t>
        </is>
      </c>
      <c r="F68" s="0" t="inlineStr">
        <is>
          <t>E13</t>
        </is>
      </c>
      <c r="G68" s="0" t="inlineStr">
        <is>
          <t>WS10%, LM40%, CR50%</t>
        </is>
      </c>
      <c r="H68" s="0" t="inlineStr">
        <is>
          <t>GRADING + DRAINASE + RIPPING + SPREADING + COMPACTING</t>
        </is>
      </c>
      <c r="I68" s="0" t="n">
        <v>774.0</v>
      </c>
      <c r="J68" s="0">
        <f>IF(E68="JU",Asumsi!$B$3,Asumsi!$B$4)</f>
      </c>
      <c r="K68" s="0">
        <f>I68*J68</f>
      </c>
      <c r="L68" s="0" t="n">
        <v>0.1</v>
      </c>
      <c r="M68" s="0" t="n">
        <v>0.4</v>
      </c>
      <c r="N68" s="0" t="n">
        <v>0.5</v>
      </c>
      <c r="O68" s="0" t="n">
        <v>0</v>
      </c>
      <c r="P68" s="0" t="n">
        <v>0</v>
      </c>
    </row>
    <row r="69">
      <c r="A69" s="0" t="inlineStr">
        <is>
          <t>5</t>
        </is>
      </c>
      <c r="B69" s="0" t="inlineStr">
        <is>
          <t>AFD 5</t>
        </is>
      </c>
      <c r="C69" s="0" t="inlineStr">
        <is>
          <t>RUSAK SEDANG</t>
        </is>
      </c>
      <c r="D69" s="0" t="inlineStr">
        <is>
          <t>RS 5</t>
        </is>
      </c>
      <c r="E69" s="0" t="inlineStr">
        <is>
          <t>JU</t>
        </is>
      </c>
      <c r="F69" s="0" t="inlineStr">
        <is>
          <t>E6</t>
        </is>
      </c>
      <c r="G69" s="0" t="inlineStr">
        <is>
          <t>WS10%, CR90%</t>
        </is>
      </c>
      <c r="H69" s="0" t="inlineStr">
        <is>
          <t>GRADING + DRAINASE + COMPACTING</t>
        </is>
      </c>
      <c r="I69" s="0" t="n">
        <v>613.0</v>
      </c>
      <c r="J69" s="0">
        <f>IF(E69="JU",Asumsi!$B$3,Asumsi!$B$4)</f>
      </c>
      <c r="K69" s="0">
        <f>I69*J69</f>
      </c>
      <c r="L69" s="0" t="n">
        <v>0.1</v>
      </c>
      <c r="M69" s="0" t="n">
        <v>0</v>
      </c>
      <c r="N69" s="0" t="n">
        <v>0.9</v>
      </c>
      <c r="O69" s="0" t="n">
        <v>0</v>
      </c>
      <c r="P69" s="0" t="n">
        <v>0</v>
      </c>
    </row>
    <row r="70">
      <c r="A70" s="0" t="inlineStr">
        <is>
          <t>6</t>
        </is>
      </c>
      <c r="B70" s="0" t="inlineStr">
        <is>
          <t>AFD 5</t>
        </is>
      </c>
      <c r="C70" s="0" t="inlineStr">
        <is>
          <t>RUSAK SEDANG</t>
        </is>
      </c>
      <c r="D70" s="0" t="inlineStr">
        <is>
          <t>RS 6</t>
        </is>
      </c>
      <c r="E70" s="0" t="inlineStr">
        <is>
          <t>JU</t>
        </is>
      </c>
      <c r="F70" s="0" t="inlineStr">
        <is>
          <t>E12</t>
        </is>
      </c>
      <c r="G70" s="0" t="inlineStr">
        <is>
          <t>LM40%, CR 60%</t>
        </is>
      </c>
      <c r="H70" s="0" t="inlineStr">
        <is>
          <t>RIPPING + SPREADING + COMPACTING + GRADING</t>
        </is>
      </c>
      <c r="I70" s="0" t="n">
        <v>553.0</v>
      </c>
      <c r="J70" s="0">
        <f>IF(E70="JU",Asumsi!$B$3,Asumsi!$B$4)</f>
      </c>
      <c r="K70" s="0">
        <f>I70*J70</f>
      </c>
      <c r="L70" s="0" t="n">
        <v>0</v>
      </c>
      <c r="M70" s="0" t="n">
        <v>0.4</v>
      </c>
      <c r="N70" s="0" t="n">
        <v>0.6</v>
      </c>
      <c r="O70" s="0" t="n">
        <v>0</v>
      </c>
      <c r="P70" s="0" t="n">
        <v>0</v>
      </c>
    </row>
    <row r="71">
      <c r="A71" s="0" t="inlineStr">
        <is>
          <t>27</t>
        </is>
      </c>
      <c r="B71" s="0" t="inlineStr">
        <is>
          <t>AFD 5</t>
        </is>
      </c>
      <c r="C71" s="0" t="inlineStr">
        <is>
          <t>RUSAK BERAT</t>
        </is>
      </c>
      <c r="D71" s="0" t="inlineStr">
        <is>
          <t>RB 11</t>
        </is>
      </c>
      <c r="E71" s="0" t="inlineStr">
        <is>
          <t>JU</t>
        </is>
      </c>
      <c r="F71" s="0" t="inlineStr">
        <is>
          <t>E20</t>
        </is>
      </c>
      <c r="G71" s="0" t="inlineStr">
        <is>
          <t>WS10%, LM40%, CR50%</t>
        </is>
      </c>
      <c r="H71" s="0" t="inlineStr">
        <is>
          <t>GRADING + DRAINASE + RIPPING + SPREADING + COMPACTING</t>
        </is>
      </c>
      <c r="I71" s="0" t="n">
        <v>815.0</v>
      </c>
      <c r="J71" s="0">
        <f>IF(E71="JU",Asumsi!$B$3,Asumsi!$B$4)</f>
      </c>
      <c r="K71" s="0">
        <f>I71*J71</f>
      </c>
      <c r="L71" s="0" t="n">
        <v>0.1</v>
      </c>
      <c r="M71" s="0" t="n">
        <v>0.4</v>
      </c>
      <c r="N71" s="0" t="n">
        <v>0.5</v>
      </c>
      <c r="O71" s="0" t="n">
        <v>0</v>
      </c>
      <c r="P71" s="0" t="n">
        <v>0</v>
      </c>
    </row>
    <row r="72">
      <c r="A72" s="0" t="inlineStr">
        <is>
          <t>28</t>
        </is>
      </c>
      <c r="B72" s="0" t="inlineStr">
        <is>
          <t>AFD 5</t>
        </is>
      </c>
      <c r="C72" s="0" t="inlineStr">
        <is>
          <t>RUSAK BERAT</t>
        </is>
      </c>
      <c r="D72" s="0" t="inlineStr">
        <is>
          <t>RB 12</t>
        </is>
      </c>
      <c r="E72" s="0" t="inlineStr">
        <is>
          <t>JU</t>
        </is>
      </c>
      <c r="F72" s="0" t="inlineStr">
        <is>
          <t>E14</t>
        </is>
      </c>
      <c r="G72" s="0" t="inlineStr">
        <is>
          <t>LM30%, UN30%, CR40%</t>
        </is>
      </c>
      <c r="H72" s="0" t="inlineStr">
        <is>
          <t>RIPPING + SPREADING + COMPACTING + PERBAIKAN TANAH DASAR + BASECOURSE BARU + GRADING </t>
        </is>
      </c>
      <c r="I72" s="0" t="n">
        <v>490.0</v>
      </c>
      <c r="J72" s="0">
        <f>IF(E72="JU",Asumsi!$B$3,Asumsi!$B$4)</f>
      </c>
      <c r="K72" s="0">
        <f>I72*J72</f>
      </c>
      <c r="L72" s="0" t="n">
        <v>0</v>
      </c>
      <c r="M72" s="0" t="n">
        <v>0.3</v>
      </c>
      <c r="N72" s="0" t="n">
        <v>0.4</v>
      </c>
      <c r="O72" s="0" t="n">
        <v>0.3</v>
      </c>
      <c r="P72" s="0" t="n">
        <v>0</v>
      </c>
    </row>
    <row r="73">
      <c r="A73" s="0" t="inlineStr">
        <is>
          <t>29</t>
        </is>
      </c>
      <c r="B73" s="0" t="inlineStr">
        <is>
          <t>AFD 5</t>
        </is>
      </c>
      <c r="C73" s="0" t="inlineStr">
        <is>
          <t>RUSAK BERAT</t>
        </is>
      </c>
      <c r="D73" s="0" t="inlineStr">
        <is>
          <t>RB 13</t>
        </is>
      </c>
      <c r="E73" s="0" t="inlineStr">
        <is>
          <t>JP</t>
        </is>
      </c>
      <c r="F73" s="0" t="inlineStr">
        <is>
          <t>E13</t>
        </is>
      </c>
      <c r="G73" s="0" t="inlineStr">
        <is>
          <t>LM50%, CR50%</t>
        </is>
      </c>
      <c r="H73" s="0" t="inlineStr">
        <is>
          <t>RIPPING + SPREADING + COMPACTING + GRADING</t>
        </is>
      </c>
      <c r="I73" s="0" t="n">
        <v>542.0</v>
      </c>
      <c r="J73" s="0">
        <f>IF(E73="JU",Asumsi!$B$3,Asumsi!$B$4)</f>
      </c>
      <c r="K73" s="0">
        <f>I73*J73</f>
      </c>
      <c r="L73" s="0" t="n">
        <v>0</v>
      </c>
      <c r="M73" s="0" t="n">
        <v>0.5</v>
      </c>
      <c r="N73" s="0" t="n">
        <v>0.5</v>
      </c>
      <c r="O73" s="0" t="n">
        <v>0</v>
      </c>
      <c r="P73" s="0" t="n">
        <v>0</v>
      </c>
    </row>
    <row r="74">
      <c r="A74" s="0" t="inlineStr">
        <is>
          <t>30</t>
        </is>
      </c>
      <c r="B74" s="0" t="inlineStr">
        <is>
          <t>AFD 5</t>
        </is>
      </c>
      <c r="C74" s="0" t="inlineStr">
        <is>
          <t>RUSAK BERAT</t>
        </is>
      </c>
      <c r="D74" s="0" t="inlineStr">
        <is>
          <t>RB 14</t>
        </is>
      </c>
      <c r="E74" s="0" t="inlineStr">
        <is>
          <t>JP</t>
        </is>
      </c>
      <c r="F74" s="0" t="inlineStr">
        <is>
          <t>E1</t>
        </is>
      </c>
      <c r="G74" s="0" t="inlineStr">
        <is>
          <t>WS30%, CR30%, LM40%</t>
        </is>
      </c>
      <c r="H74" s="0" t="inlineStr">
        <is>
          <t>GRADING + DRAINASE + COMPACTING + RIPPING + SPREADING + SEMENISASI</t>
        </is>
      </c>
      <c r="I74" s="0" t="n">
        <v>399.0</v>
      </c>
      <c r="J74" s="0">
        <f>IF(E74="JU",Asumsi!$B$3,Asumsi!$B$4)</f>
      </c>
      <c r="K74" s="0">
        <f>I74*J74</f>
      </c>
      <c r="L74" s="0" t="n">
        <v>0.3</v>
      </c>
      <c r="M74" s="0" t="n">
        <v>0.4</v>
      </c>
      <c r="N74" s="0" t="n">
        <v>0.3</v>
      </c>
      <c r="O74" s="0" t="n">
        <v>0</v>
      </c>
      <c r="P74" s="0" t="n">
        <v>0</v>
      </c>
    </row>
  </sheetData>
</worksheet>
</file>

<file path=xl/worksheets/sheet6.xml><?xml version="1.0" encoding="utf-8"?>
<worksheet xmlns="http://schemas.openxmlformats.org/spreadsheetml/2006/main">
  <dimension ref="A1:H10"/>
  <sheetViews>
    <sheetView workbookViewId="0"/>
  </sheetViews>
  <sheetFormatPr defaultRowHeight="15"/>
  <cols>
    <col min="1" max="1" width="14" customWidth="1"/>
    <col min="2" max="2" width="28" customWidth="1"/>
    <col min="3" max="3" width="14" customWidth="1"/>
    <col min="4" max="4" width="24" customWidth="1"/>
    <col min="5" max="5" width="16" customWidth="1"/>
    <col min="6" max="6" width="12" customWidth="1"/>
    <col min="7" max="7" width="18" customWidth="1"/>
    <col min="8" max="8" width="14" customWidth="1"/>
  </cols>
  <sheetData>
    <row r="1">
      <c r="A1" s="1" t="inlineStr">
        <is>
          <t>Kode</t>
        </is>
      </c>
      <c r="B1" s="1" t="inlineStr">
        <is>
          <t>Jenis pekerjaan</t>
        </is>
      </c>
      <c r="C1" s="1" t="inlineStr">
        <is>
          <t>Alat</t>
        </is>
      </c>
      <c r="D1" s="1" t="inlineStr">
        <is>
          <t>Formula/parameter</t>
        </is>
      </c>
      <c r="E1" s="1" t="inlineStr">
        <is>
          <t>Produktivitas</t>
        </is>
      </c>
      <c r="F1" s="1" t="inlineStr">
        <is>
          <t>Satuan</t>
        </is>
      </c>
      <c r="G1" s="1" t="inlineStr">
        <is>
          <t>Koefisien jam</t>
        </is>
      </c>
      <c r="H1" s="1" t="inlineStr">
        <is>
          <t>Satuan koef.</t>
        </is>
      </c>
    </row>
    <row r="2">
      <c r="A2" s="0" t="inlineStr">
        <is>
          <t>GRD</t>
        </is>
      </c>
      <c r="B2" s="0" t="inlineStr">
        <is>
          <t>Grading/perataan</t>
        </is>
      </c>
      <c r="C2" s="0" t="inlineStr">
        <is>
          <t>AL-GRD</t>
        </is>
      </c>
      <c r="D2" s="0" t="inlineStr">
        <is>
          <t>Q=L x V x 1.000 x Fa</t>
        </is>
      </c>
      <c r="E2" s="0">
        <f>Asumsi!B39*Asumsi!B40*Asumsi!B41</f>
      </c>
      <c r="F2" s="0" t="inlineStr">
        <is>
          <t>m2/jam</t>
        </is>
      </c>
      <c r="G2" s="0">
        <f>1/E2</f>
      </c>
      <c r="H2" s="0" t="inlineStr">
        <is>
          <t>jam/m2</t>
        </is>
      </c>
    </row>
    <row r="3">
      <c r="A3" s="0" t="inlineStr">
        <is>
          <t>RIP</t>
        </is>
      </c>
      <c r="B3" s="0" t="inlineStr">
        <is>
          <t>Ripping/penggemburan</t>
        </is>
      </c>
      <c r="C3" s="0" t="inlineStr">
        <is>
          <t>AL-DZR</t>
        </is>
      </c>
      <c r="D3" s="0" t="inlineStr">
        <is>
          <t>Q Bulldozer SE-DJBK</t>
        </is>
      </c>
      <c r="E3" s="0">
        <f>Asumsi!B26</f>
      </c>
      <c r="F3" s="0" t="inlineStr">
        <is>
          <t>m3/jam</t>
        </is>
      </c>
      <c r="G3" s="0">
        <f>1/E3</f>
      </c>
      <c r="H3" s="0" t="inlineStr">
        <is>
          <t>jam/m3</t>
        </is>
      </c>
    </row>
    <row r="4">
      <c r="A4" s="0" t="inlineStr">
        <is>
          <t>SPR</t>
        </is>
      </c>
      <c r="B4" s="0" t="inlineStr">
        <is>
          <t>Spreading/penyebaran</t>
        </is>
      </c>
      <c r="C4" s="0" t="inlineStr">
        <is>
          <t>AL-DZR</t>
        </is>
      </c>
      <c r="D4" s="0" t="inlineStr">
        <is>
          <t>Q Bulldozer SE-DJBK</t>
        </is>
      </c>
      <c r="E4" s="0">
        <f>Asumsi!B26</f>
      </c>
      <c r="F4" s="0" t="inlineStr">
        <is>
          <t>m3/jam</t>
        </is>
      </c>
      <c r="G4" s="0">
        <f>1/E4</f>
      </c>
      <c r="H4" s="0" t="inlineStr">
        <is>
          <t>jam/m3</t>
        </is>
      </c>
    </row>
    <row r="5">
      <c r="A5" s="0" t="inlineStr">
        <is>
          <t>CMP</t>
        </is>
      </c>
      <c r="B5" s="0" t="inlineStr">
        <is>
          <t>Compacting/pemadatan</t>
        </is>
      </c>
      <c r="C5" s="0" t="inlineStr">
        <is>
          <t>AL-RLR</t>
        </is>
      </c>
      <c r="D5" s="0" t="inlineStr">
        <is>
          <t>Q=L x V x 1.000 x Fa/n</t>
        </is>
      </c>
      <c r="E5" s="0">
        <f>Asumsi!B43*Asumsi!B44*Asumsi!B45*1000/Asumsi!B42</f>
      </c>
      <c r="F5" s="0" t="inlineStr">
        <is>
          <t>m3/jam</t>
        </is>
      </c>
      <c r="G5" s="0">
        <f>1/E5</f>
      </c>
      <c r="H5" s="0" t="inlineStr">
        <is>
          <t>jam/m3</t>
        </is>
      </c>
    </row>
    <row r="6">
      <c r="A6" s="0" t="inlineStr">
        <is>
          <t>DRN</t>
        </is>
      </c>
      <c r="B6" s="0" t="inlineStr">
        <is>
          <t>Drainase/galian</t>
        </is>
      </c>
      <c r="C6" s="0" t="inlineStr">
        <is>
          <t>AL-EXC</t>
        </is>
      </c>
      <c r="D6" s="0" t="inlineStr">
        <is>
          <t>Q=Kb x Fb x Fa x 60/Ts</t>
        </is>
      </c>
      <c r="E6" s="0">
        <f>Asumsi!B46*Asumsi!B47*Asumsi!B48*60/Asumsi!B49</f>
      </c>
      <c r="F6" s="0" t="inlineStr">
        <is>
          <t>m3/jam</t>
        </is>
      </c>
      <c r="G6" s="0">
        <f>1/E6</f>
      </c>
      <c r="H6" s="0" t="inlineStr">
        <is>
          <t>jam/m3</t>
        </is>
      </c>
    </row>
    <row r="7">
      <c r="A7" s="0" t="inlineStr">
        <is>
          <t>SUB</t>
        </is>
      </c>
      <c r="B7" s="0" t="inlineStr">
        <is>
          <t>Perbaikan tanah dasar</t>
        </is>
      </c>
      <c r="C7" s="0" t="inlineStr">
        <is>
          <t>AL-EXC</t>
        </is>
      </c>
      <c r="D7" s="0" t="inlineStr">
        <is>
          <t>Q excavator SE-DJBK</t>
        </is>
      </c>
      <c r="E7" s="0">
        <f>Asumsi!B46*Asumsi!B47*Asumsi!B48*60/Asumsi!B49</f>
      </c>
      <c r="F7" s="0" t="inlineStr">
        <is>
          <t>m3/jam</t>
        </is>
      </c>
      <c r="G7" s="0">
        <f>1/E7</f>
      </c>
      <c r="H7" s="0" t="inlineStr">
        <is>
          <t>jam/m3</t>
        </is>
      </c>
    </row>
    <row r="8">
      <c r="A8" s="0" t="inlineStr">
        <is>
          <t>BSC</t>
        </is>
      </c>
      <c r="B8" s="0" t="inlineStr">
        <is>
          <t>Basecourse baru</t>
        </is>
      </c>
      <c r="C8" s="0" t="inlineStr">
        <is>
          <t>AL-DZR</t>
        </is>
      </c>
      <c r="D8" s="0" t="inlineStr">
        <is>
          <t>Q Bulldozer SE-DJBK</t>
        </is>
      </c>
      <c r="E8" s="0">
        <f>Asumsi!B26</f>
      </c>
      <c r="F8" s="0" t="inlineStr">
        <is>
          <t>m3/jam</t>
        </is>
      </c>
      <c r="G8" s="0">
        <f>1/E8</f>
      </c>
      <c r="H8" s="0" t="inlineStr">
        <is>
          <t>jam/m3</t>
        </is>
      </c>
    </row>
    <row r="9">
      <c r="A9" s="0" t="inlineStr">
        <is>
          <t>PTH</t>
        </is>
      </c>
      <c r="B9" s="0" t="inlineStr">
        <is>
          <t>Patching lubang</t>
        </is>
      </c>
      <c r="C9" s="0" t="inlineStr">
        <is>
          <t>AL-EXC</t>
        </is>
      </c>
      <c r="D9" s="0" t="inlineStr">
        <is>
          <t>Q excavator SE-DJBK</t>
        </is>
      </c>
      <c r="E9" s="0">
        <f>Asumsi!B46*Asumsi!B47*Asumsi!B48*60/Asumsi!B49</f>
      </c>
      <c r="F9" s="0" t="inlineStr">
        <is>
          <t>m3/jam</t>
        </is>
      </c>
      <c r="G9" s="0">
        <f>1/E9</f>
      </c>
      <c r="H9" s="0" t="inlineStr">
        <is>
          <t>jam/m3</t>
        </is>
      </c>
    </row>
    <row r="10">
      <c r="A10" s="0" t="inlineStr">
        <is>
          <t>SEM</t>
        </is>
      </c>
      <c r="B10" s="0" t="inlineStr">
        <is>
          <t>Semenisasi</t>
        </is>
      </c>
      <c r="C10" s="0" t="inlineStr">
        <is>
          <t>MAN</t>
        </is>
      </c>
      <c r="D10" s="0" t="inlineStr">
        <is>
          <t>Pekerjaan manual; alat berat tidak dihitung</t>
        </is>
      </c>
      <c r="E10" s="0" t="n">
        <v>0</v>
      </c>
      <c r="F10" s="0" t="inlineStr">
        <is>
          <t>m2/jam</t>
        </is>
      </c>
      <c r="G10" s="0" t="n">
        <v>0</v>
      </c>
      <c r="H10" s="0" t="inlineStr">
        <is>
          <t>jam/m2</t>
        </is>
      </c>
    </row>
  </sheetData>
</worksheet>
</file>

<file path=xl/worksheets/sheet7.xml><?xml version="1.0" encoding="utf-8"?>
<worksheet xmlns="http://schemas.openxmlformats.org/spreadsheetml/2006/main">
  <dimension ref="A1:P74"/>
  <sheetViews>
    <sheetView workbookViewId="0"/>
  </sheetViews>
  <sheetFormatPr defaultRowHeight="15"/>
  <cols>
    <col min="1" max="1" width="8" customWidth="1"/>
    <col min="2" max="2" width="12" customWidth="1"/>
    <col min="3" max="3" width="10" customWidth="1"/>
    <col min="4" max="4" width="12" customWidth="1"/>
    <col min="5" max="5" width="14" customWidth="1"/>
    <col min="6" max="6" width="16" customWidth="1"/>
    <col min="7" max="7" width="18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8" customWidth="1"/>
    <col min="15" max="15" width="26" customWidth="1"/>
    <col min="16" max="16" width="24" customWidth="1"/>
  </cols>
  <sheetData>
    <row r="1">
      <c r="A1" s="1" t="inlineStr">
        <is>
          <t>No</t>
        </is>
      </c>
      <c r="B1" s="1" t="inlineStr">
        <is>
          <t>Afdeling</t>
        </is>
      </c>
      <c r="C1" s="1" t="inlineStr">
        <is>
          <t>Blok</t>
        </is>
      </c>
      <c r="D1" s="1" t="inlineStr">
        <is>
          <t>Panjang m</t>
        </is>
      </c>
      <c r="E1" s="1" t="inlineStr">
        <is>
          <t>Luas m2</t>
        </is>
      </c>
      <c r="F1" s="1" t="inlineStr">
        <is>
          <t>Vol olah m3</t>
        </is>
      </c>
      <c r="G1" s="1" t="inlineStr">
        <is>
          <t>Vol drainase m3</t>
        </is>
      </c>
      <c r="H1" s="1" t="inlineStr">
        <is>
          <t>Jam GRD</t>
        </is>
      </c>
      <c r="I1" s="1" t="inlineStr">
        <is>
          <t>Jam DZR</t>
        </is>
      </c>
      <c r="J1" s="1" t="inlineStr">
        <is>
          <t>Jam RLR</t>
        </is>
      </c>
      <c r="K1" s="1" t="inlineStr">
        <is>
          <t>Jam EXC</t>
        </is>
      </c>
      <c r="L1" s="1" t="inlineStr">
        <is>
          <t>Jam WTR</t>
        </is>
      </c>
      <c r="M1" s="1" t="inlineStr">
        <is>
          <t>Total jam</t>
        </is>
      </c>
      <c r="N1" s="1" t="inlineStr">
        <is>
          <t>Biaya alat Rp</t>
        </is>
      </c>
      <c r="O1" s="1" t="inlineStr">
        <is>
          <t>Kode pekerjaan terdeteksi</t>
        </is>
      </c>
      <c r="P1" s="1" t="inlineStr">
        <is>
          <t>Kode alat</t>
        </is>
      </c>
    </row>
    <row r="2">
      <c r="A2" s="0">
        <f>Input_Jalan!A2</f>
      </c>
      <c r="B2" s="0">
        <f>Input_Jalan!B2</f>
      </c>
      <c r="C2" s="0">
        <f>Input_Jalan!F2</f>
      </c>
      <c r="D2" s="0">
        <f>Input_Jalan!I2</f>
      </c>
      <c r="E2" s="0">
        <f>Input_Jalan!K2</f>
      </c>
      <c r="F2" s="0">
        <f>Input_Jalan!K2*Asumsi!$B$5*(Input_Jalan!M2+Input_Jalan!N2+Input_Jalan!O2)</f>
      </c>
      <c r="G2" s="0">
        <f>Input_Jalan!I2*Asumsi!$B$7*Asumsi!$B$8*Input_Jalan!L2</f>
      </c>
      <c r="H2" s="0">
        <f>IF(ISNUMBER(SEARCH("GRADING",Input_Jalan!H2)),Input_Jalan!K2/Analisa_Produktivitas!$E$2,0)</f>
      </c>
      <c r="I2" s="0">
        <f>IF(ISNUMBER(SEARCH("RIPPING",Input_Jalan!H2)),=Input_Jalan!K2*Asumsi!$B$5*(Input_Jalan!M2+Input_Jalan!N2+Input_Jalan!O2)/Analisa_Produktivitas!$E$3,0)+IF(ISNUMBER(SEARCH("SPREADING",Input_Jalan!H2)),=Input_Jalan!K2*Asumsi!$B$5*(Input_Jalan!M2+Input_Jalan!N2+Input_Jalan!O2)/Analisa_Produktivitas!$E$4,0)+IF(ISNUMBER(SEARCH("BASECOURSE",Input_Jalan!H2)),=Input_Jalan!K2*Asumsi!$B$5*(Input_Jalan!M2+Input_Jalan!N2+Input_Jalan!O2)/Analisa_Produktivitas!$E$8,0)</f>
      </c>
      <c r="J2" s="0">
        <f>IF(OR(ISNUMBER(SEARCH("COMPACTING",Input_Jalan!H2)),ISNUMBER(SEARCH("PEMADATAN",Input_Jalan!H2))),=Input_Jalan!K2*Asumsi!$B$5*(Input_Jalan!M2+Input_Jalan!N2+Input_Jalan!O2)/Analisa_Produktivitas!$E$5,0)</f>
      </c>
      <c r="K2" s="0">
        <f>IF(ISNUMBER(SEARCH("DRAINASE",Input_Jalan!H2)),=Input_Jalan!I2*Asumsi!$B$7*Asumsi!$B$8*Input_Jalan!L2/Analisa_Produktivitas!$E$6,0)+IF(ISNUMBER(SEARCH("TANAH DASAR",Input_Jalan!H2)),=Input_Jalan!K2*Asumsi!$B$5*(Input_Jalan!M2+Input_Jalan!N2+Input_Jalan!O2)/Analisa_Produktivitas!$E$7,0)+IF(ISNUMBER(SEARCH("PATCHING",Input_Jalan!H2)),=Input_Jalan!K2*Asumsi!$B$5*(Input_Jalan!M2+Input_Jalan!N2+Input_Jalan!O2)/Analisa_Produktivitas!$E$9,0)</f>
      </c>
      <c r="L2" s="0">
        <f>IF(OR(ISNUMBER(SEARCH("COMPACTING",Input_Jalan!H2)),ISNUMBER(SEARCH("PEMADATAN",Input_Jalan!H2))),=Input_Jalan!K2*Asumsi!$B$5*(Input_Jalan!M2+Input_Jalan!N2+Input_Jalan!O2)*Asumsi!$B$9/Asumsi!$R$35,0)</f>
      </c>
      <c r="M2" s="0">
        <f>SUM(H2:L2)</f>
      </c>
      <c r="N2" s="0">
        <f>H2*Asumsi!$S$31+I2*Asumsi!$S$32+J2*Asumsi!$S$33+K2*Asumsi!$S$34+L2*Asumsi!$S$35</f>
      </c>
      <c r="O2" s="0">
        <f>IF(ISNUMBER(SEARCH("GRADING",Input_Jalan!H2)),"GRD ","")&amp;IF(ISNUMBER(SEARCH("RIPPING",Input_Jalan!H2)),"RIP ","")&amp;IF(ISNUMBER(SEARCH("SPREADING",Input_Jalan!H2)),"SPR ","")&amp;IF(ISNUMBER(SEARCH("COMPACTING",Input_Jalan!H2)),"CMP ","")&amp;IF(ISNUMBER(SEARCH("PEMADATAN",Input_Jalan!H2)),"CMP ","")&amp;IF(ISNUMBER(SEARCH("DRAINASE",Input_Jalan!H2)),"DRN ","")&amp;IF(ISNUMBER(SEARCH("TANAH DASAR",Input_Jalan!H2)),"SUB ","")&amp;IF(ISNUMBER(SEARCH("BASECOURSE",Input_Jalan!H2)),"BSC ","")&amp;IF(ISNUMBER(SEARCH("PATCHING",Input_Jalan!H2)),"PTH ","")&amp;IF(ISNUMBER(SEARCH("SEMENISASI",Input_Jalan!H2)),"SEM ","")</f>
      </c>
      <c r="P2" s="0">
        <f>IF(I2&gt;0,"AL-DZR ","")&amp;IF(H2&gt;0,"AL-GRD ","")&amp;IF(J2&gt;0,"AL-RLR ","")&amp;IF(K2&gt;0,"AL-EXC ","")&amp;IF(L2&gt;0,"AL-WTR","")</f>
      </c>
    </row>
    <row r="3">
      <c r="A3" s="0">
        <f>Input_Jalan!A3</f>
      </c>
      <c r="B3" s="0">
        <f>Input_Jalan!B3</f>
      </c>
      <c r="C3" s="0">
        <f>Input_Jalan!F3</f>
      </c>
      <c r="D3" s="0">
        <f>Input_Jalan!I3</f>
      </c>
      <c r="E3" s="0">
        <f>Input_Jalan!K3</f>
      </c>
      <c r="F3" s="0">
        <f>Input_Jalan!K3*Asumsi!$B$5*(Input_Jalan!M3+Input_Jalan!N3+Input_Jalan!O3)</f>
      </c>
      <c r="G3" s="0">
        <f>Input_Jalan!I3*Asumsi!$B$7*Asumsi!$B$8*Input_Jalan!L3</f>
      </c>
      <c r="H3" s="0">
        <f>IF(ISNUMBER(SEARCH("GRADING",Input_Jalan!H3)),Input_Jalan!K3/Analisa_Produktivitas!$E$2,0)</f>
      </c>
      <c r="I3" s="0">
        <f>IF(ISNUMBER(SEARCH("RIPPING",Input_Jalan!H3)),=Input_Jalan!K3*Asumsi!$B$5*(Input_Jalan!M3+Input_Jalan!N3+Input_Jalan!O3)/Analisa_Produktivitas!$E$3,0)+IF(ISNUMBER(SEARCH("SPREADING",Input_Jalan!H3)),=Input_Jalan!K3*Asumsi!$B$5*(Input_Jalan!M3+Input_Jalan!N3+Input_Jalan!O3)/Analisa_Produktivitas!$E$4,0)+IF(ISNUMBER(SEARCH("BASECOURSE",Input_Jalan!H3)),=Input_Jalan!K3*Asumsi!$B$5*(Input_Jalan!M3+Input_Jalan!N3+Input_Jalan!O3)/Analisa_Produktivitas!$E$8,0)</f>
      </c>
      <c r="J3" s="0">
        <f>IF(OR(ISNUMBER(SEARCH("COMPACTING",Input_Jalan!H3)),ISNUMBER(SEARCH("PEMADATAN",Input_Jalan!H3))),=Input_Jalan!K3*Asumsi!$B$5*(Input_Jalan!M3+Input_Jalan!N3+Input_Jalan!O3)/Analisa_Produktivitas!$E$5,0)</f>
      </c>
      <c r="K3" s="0">
        <f>IF(ISNUMBER(SEARCH("DRAINASE",Input_Jalan!H3)),=Input_Jalan!I3*Asumsi!$B$7*Asumsi!$B$8*Input_Jalan!L3/Analisa_Produktivitas!$E$6,0)+IF(ISNUMBER(SEARCH("TANAH DASAR",Input_Jalan!H3)),=Input_Jalan!K3*Asumsi!$B$5*(Input_Jalan!M3+Input_Jalan!N3+Input_Jalan!O3)/Analisa_Produktivitas!$E$7,0)+IF(ISNUMBER(SEARCH("PATCHING",Input_Jalan!H3)),=Input_Jalan!K3*Asumsi!$B$5*(Input_Jalan!M3+Input_Jalan!N3+Input_Jalan!O3)/Analisa_Produktivitas!$E$9,0)</f>
      </c>
      <c r="L3" s="0">
        <f>IF(OR(ISNUMBER(SEARCH("COMPACTING",Input_Jalan!H3)),ISNUMBER(SEARCH("PEMADATAN",Input_Jalan!H3))),=Input_Jalan!K3*Asumsi!$B$5*(Input_Jalan!M3+Input_Jalan!N3+Input_Jalan!O3)*Asumsi!$B$9/Asumsi!$R$35,0)</f>
      </c>
      <c r="M3" s="0">
        <f>SUM(H3:L3)</f>
      </c>
      <c r="N3" s="0">
        <f>H3*Asumsi!$S$31+I3*Asumsi!$S$32+J3*Asumsi!$S$33+K3*Asumsi!$S$34+L3*Asumsi!$S$35</f>
      </c>
      <c r="O3" s="0">
        <f>IF(ISNUMBER(SEARCH("GRADING",Input_Jalan!H3)),"GRD ","")&amp;IF(ISNUMBER(SEARCH("RIPPING",Input_Jalan!H3)),"RIP ","")&amp;IF(ISNUMBER(SEARCH("SPREADING",Input_Jalan!H3)),"SPR ","")&amp;IF(ISNUMBER(SEARCH("COMPACTING",Input_Jalan!H3)),"CMP ","")&amp;IF(ISNUMBER(SEARCH("PEMADATAN",Input_Jalan!H3)),"CMP ","")&amp;IF(ISNUMBER(SEARCH("DRAINASE",Input_Jalan!H3)),"DRN ","")&amp;IF(ISNUMBER(SEARCH("TANAH DASAR",Input_Jalan!H3)),"SUB ","")&amp;IF(ISNUMBER(SEARCH("BASECOURSE",Input_Jalan!H3)),"BSC ","")&amp;IF(ISNUMBER(SEARCH("PATCHING",Input_Jalan!H3)),"PTH ","")&amp;IF(ISNUMBER(SEARCH("SEMENISASI",Input_Jalan!H3)),"SEM ","")</f>
      </c>
      <c r="P3" s="0">
        <f>IF(I3&gt;0,"AL-DZR ","")&amp;IF(H3&gt;0,"AL-GRD ","")&amp;IF(J3&gt;0,"AL-RLR ","")&amp;IF(K3&gt;0,"AL-EXC ","")&amp;IF(L3&gt;0,"AL-WTR","")</f>
      </c>
    </row>
    <row r="4">
      <c r="A4" s="0">
        <f>Input_Jalan!A4</f>
      </c>
      <c r="B4" s="0">
        <f>Input_Jalan!B4</f>
      </c>
      <c r="C4" s="0">
        <f>Input_Jalan!F4</f>
      </c>
      <c r="D4" s="0">
        <f>Input_Jalan!I4</f>
      </c>
      <c r="E4" s="0">
        <f>Input_Jalan!K4</f>
      </c>
      <c r="F4" s="0">
        <f>Input_Jalan!K4*Asumsi!$B$5*(Input_Jalan!M4+Input_Jalan!N4+Input_Jalan!O4)</f>
      </c>
      <c r="G4" s="0">
        <f>Input_Jalan!I4*Asumsi!$B$7*Asumsi!$B$8*Input_Jalan!L4</f>
      </c>
      <c r="H4" s="0">
        <f>IF(ISNUMBER(SEARCH("GRADING",Input_Jalan!H4)),Input_Jalan!K4/Analisa_Produktivitas!$E$2,0)</f>
      </c>
      <c r="I4" s="0">
        <f>IF(ISNUMBER(SEARCH("RIPPING",Input_Jalan!H4)),=Input_Jalan!K4*Asumsi!$B$5*(Input_Jalan!M4+Input_Jalan!N4+Input_Jalan!O4)/Analisa_Produktivitas!$E$3,0)+IF(ISNUMBER(SEARCH("SPREADING",Input_Jalan!H4)),=Input_Jalan!K4*Asumsi!$B$5*(Input_Jalan!M4+Input_Jalan!N4+Input_Jalan!O4)/Analisa_Produktivitas!$E$4,0)+IF(ISNUMBER(SEARCH("BASECOURSE",Input_Jalan!H4)),=Input_Jalan!K4*Asumsi!$B$5*(Input_Jalan!M4+Input_Jalan!N4+Input_Jalan!O4)/Analisa_Produktivitas!$E$8,0)</f>
      </c>
      <c r="J4" s="0">
        <f>IF(OR(ISNUMBER(SEARCH("COMPACTING",Input_Jalan!H4)),ISNUMBER(SEARCH("PEMADATAN",Input_Jalan!H4))),=Input_Jalan!K4*Asumsi!$B$5*(Input_Jalan!M4+Input_Jalan!N4+Input_Jalan!O4)/Analisa_Produktivitas!$E$5,0)</f>
      </c>
      <c r="K4" s="0">
        <f>IF(ISNUMBER(SEARCH("DRAINASE",Input_Jalan!H4)),=Input_Jalan!I4*Asumsi!$B$7*Asumsi!$B$8*Input_Jalan!L4/Analisa_Produktivitas!$E$6,0)+IF(ISNUMBER(SEARCH("TANAH DASAR",Input_Jalan!H4)),=Input_Jalan!K4*Asumsi!$B$5*(Input_Jalan!M4+Input_Jalan!N4+Input_Jalan!O4)/Analisa_Produktivitas!$E$7,0)+IF(ISNUMBER(SEARCH("PATCHING",Input_Jalan!H4)),=Input_Jalan!K4*Asumsi!$B$5*(Input_Jalan!M4+Input_Jalan!N4+Input_Jalan!O4)/Analisa_Produktivitas!$E$9,0)</f>
      </c>
      <c r="L4" s="0">
        <f>IF(OR(ISNUMBER(SEARCH("COMPACTING",Input_Jalan!H4)),ISNUMBER(SEARCH("PEMADATAN",Input_Jalan!H4))),=Input_Jalan!K4*Asumsi!$B$5*(Input_Jalan!M4+Input_Jalan!N4+Input_Jalan!O4)*Asumsi!$B$9/Asumsi!$R$35,0)</f>
      </c>
      <c r="M4" s="0">
        <f>SUM(H4:L4)</f>
      </c>
      <c r="N4" s="0">
        <f>H4*Asumsi!$S$31+I4*Asumsi!$S$32+J4*Asumsi!$S$33+K4*Asumsi!$S$34+L4*Asumsi!$S$35</f>
      </c>
      <c r="O4" s="0">
        <f>IF(ISNUMBER(SEARCH("GRADING",Input_Jalan!H4)),"GRD ","")&amp;IF(ISNUMBER(SEARCH("RIPPING",Input_Jalan!H4)),"RIP ","")&amp;IF(ISNUMBER(SEARCH("SPREADING",Input_Jalan!H4)),"SPR ","")&amp;IF(ISNUMBER(SEARCH("COMPACTING",Input_Jalan!H4)),"CMP ","")&amp;IF(ISNUMBER(SEARCH("PEMADATAN",Input_Jalan!H4)),"CMP ","")&amp;IF(ISNUMBER(SEARCH("DRAINASE",Input_Jalan!H4)),"DRN ","")&amp;IF(ISNUMBER(SEARCH("TANAH DASAR",Input_Jalan!H4)),"SUB ","")&amp;IF(ISNUMBER(SEARCH("BASECOURSE",Input_Jalan!H4)),"BSC ","")&amp;IF(ISNUMBER(SEARCH("PATCHING",Input_Jalan!H4)),"PTH ","")&amp;IF(ISNUMBER(SEARCH("SEMENISASI",Input_Jalan!H4)),"SEM ","")</f>
      </c>
      <c r="P4" s="0">
        <f>IF(I4&gt;0,"AL-DZR ","")&amp;IF(H4&gt;0,"AL-GRD ","")&amp;IF(J4&gt;0,"AL-RLR ","")&amp;IF(K4&gt;0,"AL-EXC ","")&amp;IF(L4&gt;0,"AL-WTR","")</f>
      </c>
    </row>
    <row r="5">
      <c r="A5" s="0">
        <f>Input_Jalan!A5</f>
      </c>
      <c r="B5" s="0">
        <f>Input_Jalan!B5</f>
      </c>
      <c r="C5" s="0">
        <f>Input_Jalan!F5</f>
      </c>
      <c r="D5" s="0">
        <f>Input_Jalan!I5</f>
      </c>
      <c r="E5" s="0">
        <f>Input_Jalan!K5</f>
      </c>
      <c r="F5" s="0">
        <f>Input_Jalan!K5*Asumsi!$B$5*(Input_Jalan!M5+Input_Jalan!N5+Input_Jalan!O5)</f>
      </c>
      <c r="G5" s="0">
        <f>Input_Jalan!I5*Asumsi!$B$7*Asumsi!$B$8*Input_Jalan!L5</f>
      </c>
      <c r="H5" s="0">
        <f>IF(ISNUMBER(SEARCH("GRADING",Input_Jalan!H5)),Input_Jalan!K5/Analisa_Produktivitas!$E$2,0)</f>
      </c>
      <c r="I5" s="0">
        <f>IF(ISNUMBER(SEARCH("RIPPING",Input_Jalan!H5)),=Input_Jalan!K5*Asumsi!$B$5*(Input_Jalan!M5+Input_Jalan!N5+Input_Jalan!O5)/Analisa_Produktivitas!$E$3,0)+IF(ISNUMBER(SEARCH("SPREADING",Input_Jalan!H5)),=Input_Jalan!K5*Asumsi!$B$5*(Input_Jalan!M5+Input_Jalan!N5+Input_Jalan!O5)/Analisa_Produktivitas!$E$4,0)+IF(ISNUMBER(SEARCH("BASECOURSE",Input_Jalan!H5)),=Input_Jalan!K5*Asumsi!$B$5*(Input_Jalan!M5+Input_Jalan!N5+Input_Jalan!O5)/Analisa_Produktivitas!$E$8,0)</f>
      </c>
      <c r="J5" s="0">
        <f>IF(OR(ISNUMBER(SEARCH("COMPACTING",Input_Jalan!H5)),ISNUMBER(SEARCH("PEMADATAN",Input_Jalan!H5))),=Input_Jalan!K5*Asumsi!$B$5*(Input_Jalan!M5+Input_Jalan!N5+Input_Jalan!O5)/Analisa_Produktivitas!$E$5,0)</f>
      </c>
      <c r="K5" s="0">
        <f>IF(ISNUMBER(SEARCH("DRAINASE",Input_Jalan!H5)),=Input_Jalan!I5*Asumsi!$B$7*Asumsi!$B$8*Input_Jalan!L5/Analisa_Produktivitas!$E$6,0)+IF(ISNUMBER(SEARCH("TANAH DASAR",Input_Jalan!H5)),=Input_Jalan!K5*Asumsi!$B$5*(Input_Jalan!M5+Input_Jalan!N5+Input_Jalan!O5)/Analisa_Produktivitas!$E$7,0)+IF(ISNUMBER(SEARCH("PATCHING",Input_Jalan!H5)),=Input_Jalan!K5*Asumsi!$B$5*(Input_Jalan!M5+Input_Jalan!N5+Input_Jalan!O5)/Analisa_Produktivitas!$E$9,0)</f>
      </c>
      <c r="L5" s="0">
        <f>IF(OR(ISNUMBER(SEARCH("COMPACTING",Input_Jalan!H5)),ISNUMBER(SEARCH("PEMADATAN",Input_Jalan!H5))),=Input_Jalan!K5*Asumsi!$B$5*(Input_Jalan!M5+Input_Jalan!N5+Input_Jalan!O5)*Asumsi!$B$9/Asumsi!$R$35,0)</f>
      </c>
      <c r="M5" s="0">
        <f>SUM(H5:L5)</f>
      </c>
      <c r="N5" s="0">
        <f>H5*Asumsi!$S$31+I5*Asumsi!$S$32+J5*Asumsi!$S$33+K5*Asumsi!$S$34+L5*Asumsi!$S$35</f>
      </c>
      <c r="O5" s="0">
        <f>IF(ISNUMBER(SEARCH("GRADING",Input_Jalan!H5)),"GRD ","")&amp;IF(ISNUMBER(SEARCH("RIPPING",Input_Jalan!H5)),"RIP ","")&amp;IF(ISNUMBER(SEARCH("SPREADING",Input_Jalan!H5)),"SPR ","")&amp;IF(ISNUMBER(SEARCH("COMPACTING",Input_Jalan!H5)),"CMP ","")&amp;IF(ISNUMBER(SEARCH("PEMADATAN",Input_Jalan!H5)),"CMP ","")&amp;IF(ISNUMBER(SEARCH("DRAINASE",Input_Jalan!H5)),"DRN ","")&amp;IF(ISNUMBER(SEARCH("TANAH DASAR",Input_Jalan!H5)),"SUB ","")&amp;IF(ISNUMBER(SEARCH("BASECOURSE",Input_Jalan!H5)),"BSC ","")&amp;IF(ISNUMBER(SEARCH("PATCHING",Input_Jalan!H5)),"PTH ","")&amp;IF(ISNUMBER(SEARCH("SEMENISASI",Input_Jalan!H5)),"SEM ","")</f>
      </c>
      <c r="P5" s="0">
        <f>IF(I5&gt;0,"AL-DZR ","")&amp;IF(H5&gt;0,"AL-GRD ","")&amp;IF(J5&gt;0,"AL-RLR ","")&amp;IF(K5&gt;0,"AL-EXC ","")&amp;IF(L5&gt;0,"AL-WTR","")</f>
      </c>
    </row>
    <row r="6">
      <c r="A6" s="0">
        <f>Input_Jalan!A6</f>
      </c>
      <c r="B6" s="0">
        <f>Input_Jalan!B6</f>
      </c>
      <c r="C6" s="0">
        <f>Input_Jalan!F6</f>
      </c>
      <c r="D6" s="0">
        <f>Input_Jalan!I6</f>
      </c>
      <c r="E6" s="0">
        <f>Input_Jalan!K6</f>
      </c>
      <c r="F6" s="0">
        <f>Input_Jalan!K6*Asumsi!$B$5*(Input_Jalan!M6+Input_Jalan!N6+Input_Jalan!O6)</f>
      </c>
      <c r="G6" s="0">
        <f>Input_Jalan!I6*Asumsi!$B$7*Asumsi!$B$8*Input_Jalan!L6</f>
      </c>
      <c r="H6" s="0">
        <f>IF(ISNUMBER(SEARCH("GRADING",Input_Jalan!H6)),Input_Jalan!K6/Analisa_Produktivitas!$E$2,0)</f>
      </c>
      <c r="I6" s="0">
        <f>IF(ISNUMBER(SEARCH("RIPPING",Input_Jalan!H6)),=Input_Jalan!K6*Asumsi!$B$5*(Input_Jalan!M6+Input_Jalan!N6+Input_Jalan!O6)/Analisa_Produktivitas!$E$3,0)+IF(ISNUMBER(SEARCH("SPREADING",Input_Jalan!H6)),=Input_Jalan!K6*Asumsi!$B$5*(Input_Jalan!M6+Input_Jalan!N6+Input_Jalan!O6)/Analisa_Produktivitas!$E$4,0)+IF(ISNUMBER(SEARCH("BASECOURSE",Input_Jalan!H6)),=Input_Jalan!K6*Asumsi!$B$5*(Input_Jalan!M6+Input_Jalan!N6+Input_Jalan!O6)/Analisa_Produktivitas!$E$8,0)</f>
      </c>
      <c r="J6" s="0">
        <f>IF(OR(ISNUMBER(SEARCH("COMPACTING",Input_Jalan!H6)),ISNUMBER(SEARCH("PEMADATAN",Input_Jalan!H6))),=Input_Jalan!K6*Asumsi!$B$5*(Input_Jalan!M6+Input_Jalan!N6+Input_Jalan!O6)/Analisa_Produktivitas!$E$5,0)</f>
      </c>
      <c r="K6" s="0">
        <f>IF(ISNUMBER(SEARCH("DRAINASE",Input_Jalan!H6)),=Input_Jalan!I6*Asumsi!$B$7*Asumsi!$B$8*Input_Jalan!L6/Analisa_Produktivitas!$E$6,0)+IF(ISNUMBER(SEARCH("TANAH DASAR",Input_Jalan!H6)),=Input_Jalan!K6*Asumsi!$B$5*(Input_Jalan!M6+Input_Jalan!N6+Input_Jalan!O6)/Analisa_Produktivitas!$E$7,0)+IF(ISNUMBER(SEARCH("PATCHING",Input_Jalan!H6)),=Input_Jalan!K6*Asumsi!$B$5*(Input_Jalan!M6+Input_Jalan!N6+Input_Jalan!O6)/Analisa_Produktivitas!$E$9,0)</f>
      </c>
      <c r="L6" s="0">
        <f>IF(OR(ISNUMBER(SEARCH("COMPACTING",Input_Jalan!H6)),ISNUMBER(SEARCH("PEMADATAN",Input_Jalan!H6))),=Input_Jalan!K6*Asumsi!$B$5*(Input_Jalan!M6+Input_Jalan!N6+Input_Jalan!O6)*Asumsi!$B$9/Asumsi!$R$35,0)</f>
      </c>
      <c r="M6" s="0">
        <f>SUM(H6:L6)</f>
      </c>
      <c r="N6" s="0">
        <f>H6*Asumsi!$S$31+I6*Asumsi!$S$32+J6*Asumsi!$S$33+K6*Asumsi!$S$34+L6*Asumsi!$S$35</f>
      </c>
      <c r="O6" s="0">
        <f>IF(ISNUMBER(SEARCH("GRADING",Input_Jalan!H6)),"GRD ","")&amp;IF(ISNUMBER(SEARCH("RIPPING",Input_Jalan!H6)),"RIP ","")&amp;IF(ISNUMBER(SEARCH("SPREADING",Input_Jalan!H6)),"SPR ","")&amp;IF(ISNUMBER(SEARCH("COMPACTING",Input_Jalan!H6)),"CMP ","")&amp;IF(ISNUMBER(SEARCH("PEMADATAN",Input_Jalan!H6)),"CMP ","")&amp;IF(ISNUMBER(SEARCH("DRAINASE",Input_Jalan!H6)),"DRN ","")&amp;IF(ISNUMBER(SEARCH("TANAH DASAR",Input_Jalan!H6)),"SUB ","")&amp;IF(ISNUMBER(SEARCH("BASECOURSE",Input_Jalan!H6)),"BSC ","")&amp;IF(ISNUMBER(SEARCH("PATCHING",Input_Jalan!H6)),"PTH ","")&amp;IF(ISNUMBER(SEARCH("SEMENISASI",Input_Jalan!H6)),"SEM ","")</f>
      </c>
      <c r="P6" s="0">
        <f>IF(I6&gt;0,"AL-DZR ","")&amp;IF(H6&gt;0,"AL-GRD ","")&amp;IF(J6&gt;0,"AL-RLR ","")&amp;IF(K6&gt;0,"AL-EXC ","")&amp;IF(L6&gt;0,"AL-WTR","")</f>
      </c>
    </row>
    <row r="7">
      <c r="A7" s="0">
        <f>Input_Jalan!A7</f>
      </c>
      <c r="B7" s="0">
        <f>Input_Jalan!B7</f>
      </c>
      <c r="C7" s="0">
        <f>Input_Jalan!F7</f>
      </c>
      <c r="D7" s="0">
        <f>Input_Jalan!I7</f>
      </c>
      <c r="E7" s="0">
        <f>Input_Jalan!K7</f>
      </c>
      <c r="F7" s="0">
        <f>Input_Jalan!K7*Asumsi!$B$5*(Input_Jalan!M7+Input_Jalan!N7+Input_Jalan!O7)</f>
      </c>
      <c r="G7" s="0">
        <f>Input_Jalan!I7*Asumsi!$B$7*Asumsi!$B$8*Input_Jalan!L7</f>
      </c>
      <c r="H7" s="0">
        <f>IF(ISNUMBER(SEARCH("GRADING",Input_Jalan!H7)),Input_Jalan!K7/Analisa_Produktivitas!$E$2,0)</f>
      </c>
      <c r="I7" s="0">
        <f>IF(ISNUMBER(SEARCH("RIPPING",Input_Jalan!H7)),=Input_Jalan!K7*Asumsi!$B$5*(Input_Jalan!M7+Input_Jalan!N7+Input_Jalan!O7)/Analisa_Produktivitas!$E$3,0)+IF(ISNUMBER(SEARCH("SPREADING",Input_Jalan!H7)),=Input_Jalan!K7*Asumsi!$B$5*(Input_Jalan!M7+Input_Jalan!N7+Input_Jalan!O7)/Analisa_Produktivitas!$E$4,0)+IF(ISNUMBER(SEARCH("BASECOURSE",Input_Jalan!H7)),=Input_Jalan!K7*Asumsi!$B$5*(Input_Jalan!M7+Input_Jalan!N7+Input_Jalan!O7)/Analisa_Produktivitas!$E$8,0)</f>
      </c>
      <c r="J7" s="0">
        <f>IF(OR(ISNUMBER(SEARCH("COMPACTING",Input_Jalan!H7)),ISNUMBER(SEARCH("PEMADATAN",Input_Jalan!H7))),=Input_Jalan!K7*Asumsi!$B$5*(Input_Jalan!M7+Input_Jalan!N7+Input_Jalan!O7)/Analisa_Produktivitas!$E$5,0)</f>
      </c>
      <c r="K7" s="0">
        <f>IF(ISNUMBER(SEARCH("DRAINASE",Input_Jalan!H7)),=Input_Jalan!I7*Asumsi!$B$7*Asumsi!$B$8*Input_Jalan!L7/Analisa_Produktivitas!$E$6,0)+IF(ISNUMBER(SEARCH("TANAH DASAR",Input_Jalan!H7)),=Input_Jalan!K7*Asumsi!$B$5*(Input_Jalan!M7+Input_Jalan!N7+Input_Jalan!O7)/Analisa_Produktivitas!$E$7,0)+IF(ISNUMBER(SEARCH("PATCHING",Input_Jalan!H7)),=Input_Jalan!K7*Asumsi!$B$5*(Input_Jalan!M7+Input_Jalan!N7+Input_Jalan!O7)/Analisa_Produktivitas!$E$9,0)</f>
      </c>
      <c r="L7" s="0">
        <f>IF(OR(ISNUMBER(SEARCH("COMPACTING",Input_Jalan!H7)),ISNUMBER(SEARCH("PEMADATAN",Input_Jalan!H7))),=Input_Jalan!K7*Asumsi!$B$5*(Input_Jalan!M7+Input_Jalan!N7+Input_Jalan!O7)*Asumsi!$B$9/Asumsi!$R$35,0)</f>
      </c>
      <c r="M7" s="0">
        <f>SUM(H7:L7)</f>
      </c>
      <c r="N7" s="0">
        <f>H7*Asumsi!$S$31+I7*Asumsi!$S$32+J7*Asumsi!$S$33+K7*Asumsi!$S$34+L7*Asumsi!$S$35</f>
      </c>
      <c r="O7" s="0">
        <f>IF(ISNUMBER(SEARCH("GRADING",Input_Jalan!H7)),"GRD ","")&amp;IF(ISNUMBER(SEARCH("RIPPING",Input_Jalan!H7)),"RIP ","")&amp;IF(ISNUMBER(SEARCH("SPREADING",Input_Jalan!H7)),"SPR ","")&amp;IF(ISNUMBER(SEARCH("COMPACTING",Input_Jalan!H7)),"CMP ","")&amp;IF(ISNUMBER(SEARCH("PEMADATAN",Input_Jalan!H7)),"CMP ","")&amp;IF(ISNUMBER(SEARCH("DRAINASE",Input_Jalan!H7)),"DRN ","")&amp;IF(ISNUMBER(SEARCH("TANAH DASAR",Input_Jalan!H7)),"SUB ","")&amp;IF(ISNUMBER(SEARCH("BASECOURSE",Input_Jalan!H7)),"BSC ","")&amp;IF(ISNUMBER(SEARCH("PATCHING",Input_Jalan!H7)),"PTH ","")&amp;IF(ISNUMBER(SEARCH("SEMENISASI",Input_Jalan!H7)),"SEM ","")</f>
      </c>
      <c r="P7" s="0">
        <f>IF(I7&gt;0,"AL-DZR ","")&amp;IF(H7&gt;0,"AL-GRD ","")&amp;IF(J7&gt;0,"AL-RLR ","")&amp;IF(K7&gt;0,"AL-EXC ","")&amp;IF(L7&gt;0,"AL-WTR","")</f>
      </c>
    </row>
    <row r="8">
      <c r="A8" s="0">
        <f>Input_Jalan!A8</f>
      </c>
      <c r="B8" s="0">
        <f>Input_Jalan!B8</f>
      </c>
      <c r="C8" s="0">
        <f>Input_Jalan!F8</f>
      </c>
      <c r="D8" s="0">
        <f>Input_Jalan!I8</f>
      </c>
      <c r="E8" s="0">
        <f>Input_Jalan!K8</f>
      </c>
      <c r="F8" s="0">
        <f>Input_Jalan!K8*Asumsi!$B$5*(Input_Jalan!M8+Input_Jalan!N8+Input_Jalan!O8)</f>
      </c>
      <c r="G8" s="0">
        <f>Input_Jalan!I8*Asumsi!$B$7*Asumsi!$B$8*Input_Jalan!L8</f>
      </c>
      <c r="H8" s="0">
        <f>IF(ISNUMBER(SEARCH("GRADING",Input_Jalan!H8)),Input_Jalan!K8/Analisa_Produktivitas!$E$2,0)</f>
      </c>
      <c r="I8" s="0">
        <f>IF(ISNUMBER(SEARCH("RIPPING",Input_Jalan!H8)),=Input_Jalan!K8*Asumsi!$B$5*(Input_Jalan!M8+Input_Jalan!N8+Input_Jalan!O8)/Analisa_Produktivitas!$E$3,0)+IF(ISNUMBER(SEARCH("SPREADING",Input_Jalan!H8)),=Input_Jalan!K8*Asumsi!$B$5*(Input_Jalan!M8+Input_Jalan!N8+Input_Jalan!O8)/Analisa_Produktivitas!$E$4,0)+IF(ISNUMBER(SEARCH("BASECOURSE",Input_Jalan!H8)),=Input_Jalan!K8*Asumsi!$B$5*(Input_Jalan!M8+Input_Jalan!N8+Input_Jalan!O8)/Analisa_Produktivitas!$E$8,0)</f>
      </c>
      <c r="J8" s="0">
        <f>IF(OR(ISNUMBER(SEARCH("COMPACTING",Input_Jalan!H8)),ISNUMBER(SEARCH("PEMADATAN",Input_Jalan!H8))),=Input_Jalan!K8*Asumsi!$B$5*(Input_Jalan!M8+Input_Jalan!N8+Input_Jalan!O8)/Analisa_Produktivitas!$E$5,0)</f>
      </c>
      <c r="K8" s="0">
        <f>IF(ISNUMBER(SEARCH("DRAINASE",Input_Jalan!H8)),=Input_Jalan!I8*Asumsi!$B$7*Asumsi!$B$8*Input_Jalan!L8/Analisa_Produktivitas!$E$6,0)+IF(ISNUMBER(SEARCH("TANAH DASAR",Input_Jalan!H8)),=Input_Jalan!K8*Asumsi!$B$5*(Input_Jalan!M8+Input_Jalan!N8+Input_Jalan!O8)/Analisa_Produktivitas!$E$7,0)+IF(ISNUMBER(SEARCH("PATCHING",Input_Jalan!H8)),=Input_Jalan!K8*Asumsi!$B$5*(Input_Jalan!M8+Input_Jalan!N8+Input_Jalan!O8)/Analisa_Produktivitas!$E$9,0)</f>
      </c>
      <c r="L8" s="0">
        <f>IF(OR(ISNUMBER(SEARCH("COMPACTING",Input_Jalan!H8)),ISNUMBER(SEARCH("PEMADATAN",Input_Jalan!H8))),=Input_Jalan!K8*Asumsi!$B$5*(Input_Jalan!M8+Input_Jalan!N8+Input_Jalan!O8)*Asumsi!$B$9/Asumsi!$R$35,0)</f>
      </c>
      <c r="M8" s="0">
        <f>SUM(H8:L8)</f>
      </c>
      <c r="N8" s="0">
        <f>H8*Asumsi!$S$31+I8*Asumsi!$S$32+J8*Asumsi!$S$33+K8*Asumsi!$S$34+L8*Asumsi!$S$35</f>
      </c>
      <c r="O8" s="0">
        <f>IF(ISNUMBER(SEARCH("GRADING",Input_Jalan!H8)),"GRD ","")&amp;IF(ISNUMBER(SEARCH("RIPPING",Input_Jalan!H8)),"RIP ","")&amp;IF(ISNUMBER(SEARCH("SPREADING",Input_Jalan!H8)),"SPR ","")&amp;IF(ISNUMBER(SEARCH("COMPACTING",Input_Jalan!H8)),"CMP ","")&amp;IF(ISNUMBER(SEARCH("PEMADATAN",Input_Jalan!H8)),"CMP ","")&amp;IF(ISNUMBER(SEARCH("DRAINASE",Input_Jalan!H8)),"DRN ","")&amp;IF(ISNUMBER(SEARCH("TANAH DASAR",Input_Jalan!H8)),"SUB ","")&amp;IF(ISNUMBER(SEARCH("BASECOURSE",Input_Jalan!H8)),"BSC ","")&amp;IF(ISNUMBER(SEARCH("PATCHING",Input_Jalan!H8)),"PTH ","")&amp;IF(ISNUMBER(SEARCH("SEMENISASI",Input_Jalan!H8)),"SEM ","")</f>
      </c>
      <c r="P8" s="0">
        <f>IF(I8&gt;0,"AL-DZR ","")&amp;IF(H8&gt;0,"AL-GRD ","")&amp;IF(J8&gt;0,"AL-RLR ","")&amp;IF(K8&gt;0,"AL-EXC ","")&amp;IF(L8&gt;0,"AL-WTR","")</f>
      </c>
    </row>
    <row r="9">
      <c r="A9" s="0">
        <f>Input_Jalan!A9</f>
      </c>
      <c r="B9" s="0">
        <f>Input_Jalan!B9</f>
      </c>
      <c r="C9" s="0">
        <f>Input_Jalan!F9</f>
      </c>
      <c r="D9" s="0">
        <f>Input_Jalan!I9</f>
      </c>
      <c r="E9" s="0">
        <f>Input_Jalan!K9</f>
      </c>
      <c r="F9" s="0">
        <f>Input_Jalan!K9*Asumsi!$B$5*(Input_Jalan!M9+Input_Jalan!N9+Input_Jalan!O9)</f>
      </c>
      <c r="G9" s="0">
        <f>Input_Jalan!I9*Asumsi!$B$7*Asumsi!$B$8*Input_Jalan!L9</f>
      </c>
      <c r="H9" s="0">
        <f>IF(ISNUMBER(SEARCH("GRADING",Input_Jalan!H9)),Input_Jalan!K9/Analisa_Produktivitas!$E$2,0)</f>
      </c>
      <c r="I9" s="0">
        <f>IF(ISNUMBER(SEARCH("RIPPING",Input_Jalan!H9)),=Input_Jalan!K9*Asumsi!$B$5*(Input_Jalan!M9+Input_Jalan!N9+Input_Jalan!O9)/Analisa_Produktivitas!$E$3,0)+IF(ISNUMBER(SEARCH("SPREADING",Input_Jalan!H9)),=Input_Jalan!K9*Asumsi!$B$5*(Input_Jalan!M9+Input_Jalan!N9+Input_Jalan!O9)/Analisa_Produktivitas!$E$4,0)+IF(ISNUMBER(SEARCH("BASECOURSE",Input_Jalan!H9)),=Input_Jalan!K9*Asumsi!$B$5*(Input_Jalan!M9+Input_Jalan!N9+Input_Jalan!O9)/Analisa_Produktivitas!$E$8,0)</f>
      </c>
      <c r="J9" s="0">
        <f>IF(OR(ISNUMBER(SEARCH("COMPACTING",Input_Jalan!H9)),ISNUMBER(SEARCH("PEMADATAN",Input_Jalan!H9))),=Input_Jalan!K9*Asumsi!$B$5*(Input_Jalan!M9+Input_Jalan!N9+Input_Jalan!O9)/Analisa_Produktivitas!$E$5,0)</f>
      </c>
      <c r="K9" s="0">
        <f>IF(ISNUMBER(SEARCH("DRAINASE",Input_Jalan!H9)),=Input_Jalan!I9*Asumsi!$B$7*Asumsi!$B$8*Input_Jalan!L9/Analisa_Produktivitas!$E$6,0)+IF(ISNUMBER(SEARCH("TANAH DASAR",Input_Jalan!H9)),=Input_Jalan!K9*Asumsi!$B$5*(Input_Jalan!M9+Input_Jalan!N9+Input_Jalan!O9)/Analisa_Produktivitas!$E$7,0)+IF(ISNUMBER(SEARCH("PATCHING",Input_Jalan!H9)),=Input_Jalan!K9*Asumsi!$B$5*(Input_Jalan!M9+Input_Jalan!N9+Input_Jalan!O9)/Analisa_Produktivitas!$E$9,0)</f>
      </c>
      <c r="L9" s="0">
        <f>IF(OR(ISNUMBER(SEARCH("COMPACTING",Input_Jalan!H9)),ISNUMBER(SEARCH("PEMADATAN",Input_Jalan!H9))),=Input_Jalan!K9*Asumsi!$B$5*(Input_Jalan!M9+Input_Jalan!N9+Input_Jalan!O9)*Asumsi!$B$9/Asumsi!$R$35,0)</f>
      </c>
      <c r="M9" s="0">
        <f>SUM(H9:L9)</f>
      </c>
      <c r="N9" s="0">
        <f>H9*Asumsi!$S$31+I9*Asumsi!$S$32+J9*Asumsi!$S$33+K9*Asumsi!$S$34+L9*Asumsi!$S$35</f>
      </c>
      <c r="O9" s="0">
        <f>IF(ISNUMBER(SEARCH("GRADING",Input_Jalan!H9)),"GRD ","")&amp;IF(ISNUMBER(SEARCH("RIPPING",Input_Jalan!H9)),"RIP ","")&amp;IF(ISNUMBER(SEARCH("SPREADING",Input_Jalan!H9)),"SPR ","")&amp;IF(ISNUMBER(SEARCH("COMPACTING",Input_Jalan!H9)),"CMP ","")&amp;IF(ISNUMBER(SEARCH("PEMADATAN",Input_Jalan!H9)),"CMP ","")&amp;IF(ISNUMBER(SEARCH("DRAINASE",Input_Jalan!H9)),"DRN ","")&amp;IF(ISNUMBER(SEARCH("TANAH DASAR",Input_Jalan!H9)),"SUB ","")&amp;IF(ISNUMBER(SEARCH("BASECOURSE",Input_Jalan!H9)),"BSC ","")&amp;IF(ISNUMBER(SEARCH("PATCHING",Input_Jalan!H9)),"PTH ","")&amp;IF(ISNUMBER(SEARCH("SEMENISASI",Input_Jalan!H9)),"SEM ","")</f>
      </c>
      <c r="P9" s="0">
        <f>IF(I9&gt;0,"AL-DZR ","")&amp;IF(H9&gt;0,"AL-GRD ","")&amp;IF(J9&gt;0,"AL-RLR ","")&amp;IF(K9&gt;0,"AL-EXC ","")&amp;IF(L9&gt;0,"AL-WTR","")</f>
      </c>
    </row>
    <row r="10">
      <c r="A10" s="0">
        <f>Input_Jalan!A10</f>
      </c>
      <c r="B10" s="0">
        <f>Input_Jalan!B10</f>
      </c>
      <c r="C10" s="0">
        <f>Input_Jalan!F10</f>
      </c>
      <c r="D10" s="0">
        <f>Input_Jalan!I10</f>
      </c>
      <c r="E10" s="0">
        <f>Input_Jalan!K10</f>
      </c>
      <c r="F10" s="0">
        <f>Input_Jalan!K10*Asumsi!$B$5*(Input_Jalan!M10+Input_Jalan!N10+Input_Jalan!O10)</f>
      </c>
      <c r="G10" s="0">
        <f>Input_Jalan!I10*Asumsi!$B$7*Asumsi!$B$8*Input_Jalan!L10</f>
      </c>
      <c r="H10" s="0">
        <f>IF(ISNUMBER(SEARCH("GRADING",Input_Jalan!H10)),Input_Jalan!K10/Analisa_Produktivitas!$E$2,0)</f>
      </c>
      <c r="I10" s="0">
        <f>IF(ISNUMBER(SEARCH("RIPPING",Input_Jalan!H10)),=Input_Jalan!K10*Asumsi!$B$5*(Input_Jalan!M10+Input_Jalan!N10+Input_Jalan!O10)/Analisa_Produktivitas!$E$3,0)+IF(ISNUMBER(SEARCH("SPREADING",Input_Jalan!H10)),=Input_Jalan!K10*Asumsi!$B$5*(Input_Jalan!M10+Input_Jalan!N10+Input_Jalan!O10)/Analisa_Produktivitas!$E$4,0)+IF(ISNUMBER(SEARCH("BASECOURSE",Input_Jalan!H10)),=Input_Jalan!K10*Asumsi!$B$5*(Input_Jalan!M10+Input_Jalan!N10+Input_Jalan!O10)/Analisa_Produktivitas!$E$8,0)</f>
      </c>
      <c r="J10" s="0">
        <f>IF(OR(ISNUMBER(SEARCH("COMPACTING",Input_Jalan!H10)),ISNUMBER(SEARCH("PEMADATAN",Input_Jalan!H10))),=Input_Jalan!K10*Asumsi!$B$5*(Input_Jalan!M10+Input_Jalan!N10+Input_Jalan!O10)/Analisa_Produktivitas!$E$5,0)</f>
      </c>
      <c r="K10" s="0">
        <f>IF(ISNUMBER(SEARCH("DRAINASE",Input_Jalan!H10)),=Input_Jalan!I10*Asumsi!$B$7*Asumsi!$B$8*Input_Jalan!L10/Analisa_Produktivitas!$E$6,0)+IF(ISNUMBER(SEARCH("TANAH DASAR",Input_Jalan!H10)),=Input_Jalan!K10*Asumsi!$B$5*(Input_Jalan!M10+Input_Jalan!N10+Input_Jalan!O10)/Analisa_Produktivitas!$E$7,0)+IF(ISNUMBER(SEARCH("PATCHING",Input_Jalan!H10)),=Input_Jalan!K10*Asumsi!$B$5*(Input_Jalan!M10+Input_Jalan!N10+Input_Jalan!O10)/Analisa_Produktivitas!$E$9,0)</f>
      </c>
      <c r="L10" s="0">
        <f>IF(OR(ISNUMBER(SEARCH("COMPACTING",Input_Jalan!H10)),ISNUMBER(SEARCH("PEMADATAN",Input_Jalan!H10))),=Input_Jalan!K10*Asumsi!$B$5*(Input_Jalan!M10+Input_Jalan!N10+Input_Jalan!O10)*Asumsi!$B$9/Asumsi!$R$35,0)</f>
      </c>
      <c r="M10" s="0">
        <f>SUM(H10:L10)</f>
      </c>
      <c r="N10" s="0">
        <f>H10*Asumsi!$S$31+I10*Asumsi!$S$32+J10*Asumsi!$S$33+K10*Asumsi!$S$34+L10*Asumsi!$S$35</f>
      </c>
      <c r="O10" s="0">
        <f>IF(ISNUMBER(SEARCH("GRADING",Input_Jalan!H10)),"GRD ","")&amp;IF(ISNUMBER(SEARCH("RIPPING",Input_Jalan!H10)),"RIP ","")&amp;IF(ISNUMBER(SEARCH("SPREADING",Input_Jalan!H10)),"SPR ","")&amp;IF(ISNUMBER(SEARCH("COMPACTING",Input_Jalan!H10)),"CMP ","")&amp;IF(ISNUMBER(SEARCH("PEMADATAN",Input_Jalan!H10)),"CMP ","")&amp;IF(ISNUMBER(SEARCH("DRAINASE",Input_Jalan!H10)),"DRN ","")&amp;IF(ISNUMBER(SEARCH("TANAH DASAR",Input_Jalan!H10)),"SUB ","")&amp;IF(ISNUMBER(SEARCH("BASECOURSE",Input_Jalan!H10)),"BSC ","")&amp;IF(ISNUMBER(SEARCH("PATCHING",Input_Jalan!H10)),"PTH ","")&amp;IF(ISNUMBER(SEARCH("SEMENISASI",Input_Jalan!H10)),"SEM ","")</f>
      </c>
      <c r="P10" s="0">
        <f>IF(I10&gt;0,"AL-DZR ","")&amp;IF(H10&gt;0,"AL-GRD ","")&amp;IF(J10&gt;0,"AL-RLR ","")&amp;IF(K10&gt;0,"AL-EXC ","")&amp;IF(L10&gt;0,"AL-WTR","")</f>
      </c>
    </row>
    <row r="11">
      <c r="A11" s="0">
        <f>Input_Jalan!A11</f>
      </c>
      <c r="B11" s="0">
        <f>Input_Jalan!B11</f>
      </c>
      <c r="C11" s="0">
        <f>Input_Jalan!F11</f>
      </c>
      <c r="D11" s="0">
        <f>Input_Jalan!I11</f>
      </c>
      <c r="E11" s="0">
        <f>Input_Jalan!K11</f>
      </c>
      <c r="F11" s="0">
        <f>Input_Jalan!K11*Asumsi!$B$5*(Input_Jalan!M11+Input_Jalan!N11+Input_Jalan!O11)</f>
      </c>
      <c r="G11" s="0">
        <f>Input_Jalan!I11*Asumsi!$B$7*Asumsi!$B$8*Input_Jalan!L11</f>
      </c>
      <c r="H11" s="0">
        <f>IF(ISNUMBER(SEARCH("GRADING",Input_Jalan!H11)),Input_Jalan!K11/Analisa_Produktivitas!$E$2,0)</f>
      </c>
      <c r="I11" s="0">
        <f>IF(ISNUMBER(SEARCH("RIPPING",Input_Jalan!H11)),=Input_Jalan!K11*Asumsi!$B$5*(Input_Jalan!M11+Input_Jalan!N11+Input_Jalan!O11)/Analisa_Produktivitas!$E$3,0)+IF(ISNUMBER(SEARCH("SPREADING",Input_Jalan!H11)),=Input_Jalan!K11*Asumsi!$B$5*(Input_Jalan!M11+Input_Jalan!N11+Input_Jalan!O11)/Analisa_Produktivitas!$E$4,0)+IF(ISNUMBER(SEARCH("BASECOURSE",Input_Jalan!H11)),=Input_Jalan!K11*Asumsi!$B$5*(Input_Jalan!M11+Input_Jalan!N11+Input_Jalan!O11)/Analisa_Produktivitas!$E$8,0)</f>
      </c>
      <c r="J11" s="0">
        <f>IF(OR(ISNUMBER(SEARCH("COMPACTING",Input_Jalan!H11)),ISNUMBER(SEARCH("PEMADATAN",Input_Jalan!H11))),=Input_Jalan!K11*Asumsi!$B$5*(Input_Jalan!M11+Input_Jalan!N11+Input_Jalan!O11)/Analisa_Produktivitas!$E$5,0)</f>
      </c>
      <c r="K11" s="0">
        <f>IF(ISNUMBER(SEARCH("DRAINASE",Input_Jalan!H11)),=Input_Jalan!I11*Asumsi!$B$7*Asumsi!$B$8*Input_Jalan!L11/Analisa_Produktivitas!$E$6,0)+IF(ISNUMBER(SEARCH("TANAH DASAR",Input_Jalan!H11)),=Input_Jalan!K11*Asumsi!$B$5*(Input_Jalan!M11+Input_Jalan!N11+Input_Jalan!O11)/Analisa_Produktivitas!$E$7,0)+IF(ISNUMBER(SEARCH("PATCHING",Input_Jalan!H11)),=Input_Jalan!K11*Asumsi!$B$5*(Input_Jalan!M11+Input_Jalan!N11+Input_Jalan!O11)/Analisa_Produktivitas!$E$9,0)</f>
      </c>
      <c r="L11" s="0">
        <f>IF(OR(ISNUMBER(SEARCH("COMPACTING",Input_Jalan!H11)),ISNUMBER(SEARCH("PEMADATAN",Input_Jalan!H11))),=Input_Jalan!K11*Asumsi!$B$5*(Input_Jalan!M11+Input_Jalan!N11+Input_Jalan!O11)*Asumsi!$B$9/Asumsi!$R$35,0)</f>
      </c>
      <c r="M11" s="0">
        <f>SUM(H11:L11)</f>
      </c>
      <c r="N11" s="0">
        <f>H11*Asumsi!$S$31+I11*Asumsi!$S$32+J11*Asumsi!$S$33+K11*Asumsi!$S$34+L11*Asumsi!$S$35</f>
      </c>
      <c r="O11" s="0">
        <f>IF(ISNUMBER(SEARCH("GRADING",Input_Jalan!H11)),"GRD ","")&amp;IF(ISNUMBER(SEARCH("RIPPING",Input_Jalan!H11)),"RIP ","")&amp;IF(ISNUMBER(SEARCH("SPREADING",Input_Jalan!H11)),"SPR ","")&amp;IF(ISNUMBER(SEARCH("COMPACTING",Input_Jalan!H11)),"CMP ","")&amp;IF(ISNUMBER(SEARCH("PEMADATAN",Input_Jalan!H11)),"CMP ","")&amp;IF(ISNUMBER(SEARCH("DRAINASE",Input_Jalan!H11)),"DRN ","")&amp;IF(ISNUMBER(SEARCH("TANAH DASAR",Input_Jalan!H11)),"SUB ","")&amp;IF(ISNUMBER(SEARCH("BASECOURSE",Input_Jalan!H11)),"BSC ","")&amp;IF(ISNUMBER(SEARCH("PATCHING",Input_Jalan!H11)),"PTH ","")&amp;IF(ISNUMBER(SEARCH("SEMENISASI",Input_Jalan!H11)),"SEM ","")</f>
      </c>
      <c r="P11" s="0">
        <f>IF(I11&gt;0,"AL-DZR ","")&amp;IF(H11&gt;0,"AL-GRD ","")&amp;IF(J11&gt;0,"AL-RLR ","")&amp;IF(K11&gt;0,"AL-EXC ","")&amp;IF(L11&gt;0,"AL-WTR","")</f>
      </c>
    </row>
    <row r="12">
      <c r="A12" s="0">
        <f>Input_Jalan!A12</f>
      </c>
      <c r="B12" s="0">
        <f>Input_Jalan!B12</f>
      </c>
      <c r="C12" s="0">
        <f>Input_Jalan!F12</f>
      </c>
      <c r="D12" s="0">
        <f>Input_Jalan!I12</f>
      </c>
      <c r="E12" s="0">
        <f>Input_Jalan!K12</f>
      </c>
      <c r="F12" s="0">
        <f>Input_Jalan!K12*Asumsi!$B$5*(Input_Jalan!M12+Input_Jalan!N12+Input_Jalan!O12)</f>
      </c>
      <c r="G12" s="0">
        <f>Input_Jalan!I12*Asumsi!$B$7*Asumsi!$B$8*Input_Jalan!L12</f>
      </c>
      <c r="H12" s="0">
        <f>IF(ISNUMBER(SEARCH("GRADING",Input_Jalan!H12)),Input_Jalan!K12/Analisa_Produktivitas!$E$2,0)</f>
      </c>
      <c r="I12" s="0">
        <f>IF(ISNUMBER(SEARCH("RIPPING",Input_Jalan!H12)),=Input_Jalan!K12*Asumsi!$B$5*(Input_Jalan!M12+Input_Jalan!N12+Input_Jalan!O12)/Analisa_Produktivitas!$E$3,0)+IF(ISNUMBER(SEARCH("SPREADING",Input_Jalan!H12)),=Input_Jalan!K12*Asumsi!$B$5*(Input_Jalan!M12+Input_Jalan!N12+Input_Jalan!O12)/Analisa_Produktivitas!$E$4,0)+IF(ISNUMBER(SEARCH("BASECOURSE",Input_Jalan!H12)),=Input_Jalan!K12*Asumsi!$B$5*(Input_Jalan!M12+Input_Jalan!N12+Input_Jalan!O12)/Analisa_Produktivitas!$E$8,0)</f>
      </c>
      <c r="J12" s="0">
        <f>IF(OR(ISNUMBER(SEARCH("COMPACTING",Input_Jalan!H12)),ISNUMBER(SEARCH("PEMADATAN",Input_Jalan!H12))),=Input_Jalan!K12*Asumsi!$B$5*(Input_Jalan!M12+Input_Jalan!N12+Input_Jalan!O12)/Analisa_Produktivitas!$E$5,0)</f>
      </c>
      <c r="K12" s="0">
        <f>IF(ISNUMBER(SEARCH("DRAINASE",Input_Jalan!H12)),=Input_Jalan!I12*Asumsi!$B$7*Asumsi!$B$8*Input_Jalan!L12/Analisa_Produktivitas!$E$6,0)+IF(ISNUMBER(SEARCH("TANAH DASAR",Input_Jalan!H12)),=Input_Jalan!K12*Asumsi!$B$5*(Input_Jalan!M12+Input_Jalan!N12+Input_Jalan!O12)/Analisa_Produktivitas!$E$7,0)+IF(ISNUMBER(SEARCH("PATCHING",Input_Jalan!H12)),=Input_Jalan!K12*Asumsi!$B$5*(Input_Jalan!M12+Input_Jalan!N12+Input_Jalan!O12)/Analisa_Produktivitas!$E$9,0)</f>
      </c>
      <c r="L12" s="0">
        <f>IF(OR(ISNUMBER(SEARCH("COMPACTING",Input_Jalan!H12)),ISNUMBER(SEARCH("PEMADATAN",Input_Jalan!H12))),=Input_Jalan!K12*Asumsi!$B$5*(Input_Jalan!M12+Input_Jalan!N12+Input_Jalan!O12)*Asumsi!$B$9/Asumsi!$R$35,0)</f>
      </c>
      <c r="M12" s="0">
        <f>SUM(H12:L12)</f>
      </c>
      <c r="N12" s="0">
        <f>H12*Asumsi!$S$31+I12*Asumsi!$S$32+J12*Asumsi!$S$33+K12*Asumsi!$S$34+L12*Asumsi!$S$35</f>
      </c>
      <c r="O12" s="0">
        <f>IF(ISNUMBER(SEARCH("GRADING",Input_Jalan!H12)),"GRD ","")&amp;IF(ISNUMBER(SEARCH("RIPPING",Input_Jalan!H12)),"RIP ","")&amp;IF(ISNUMBER(SEARCH("SPREADING",Input_Jalan!H12)),"SPR ","")&amp;IF(ISNUMBER(SEARCH("COMPACTING",Input_Jalan!H12)),"CMP ","")&amp;IF(ISNUMBER(SEARCH("PEMADATAN",Input_Jalan!H12)),"CMP ","")&amp;IF(ISNUMBER(SEARCH("DRAINASE",Input_Jalan!H12)),"DRN ","")&amp;IF(ISNUMBER(SEARCH("TANAH DASAR",Input_Jalan!H12)),"SUB ","")&amp;IF(ISNUMBER(SEARCH("BASECOURSE",Input_Jalan!H12)),"BSC ","")&amp;IF(ISNUMBER(SEARCH("PATCHING",Input_Jalan!H12)),"PTH ","")&amp;IF(ISNUMBER(SEARCH("SEMENISASI",Input_Jalan!H12)),"SEM ","")</f>
      </c>
      <c r="P12" s="0">
        <f>IF(I12&gt;0,"AL-DZR ","")&amp;IF(H12&gt;0,"AL-GRD ","")&amp;IF(J12&gt;0,"AL-RLR ","")&amp;IF(K12&gt;0,"AL-EXC ","")&amp;IF(L12&gt;0,"AL-WTR","")</f>
      </c>
    </row>
    <row r="13">
      <c r="A13" s="0">
        <f>Input_Jalan!A13</f>
      </c>
      <c r="B13" s="0">
        <f>Input_Jalan!B13</f>
      </c>
      <c r="C13" s="0">
        <f>Input_Jalan!F13</f>
      </c>
      <c r="D13" s="0">
        <f>Input_Jalan!I13</f>
      </c>
      <c r="E13" s="0">
        <f>Input_Jalan!K13</f>
      </c>
      <c r="F13" s="0">
        <f>Input_Jalan!K13*Asumsi!$B$5*(Input_Jalan!M13+Input_Jalan!N13+Input_Jalan!O13)</f>
      </c>
      <c r="G13" s="0">
        <f>Input_Jalan!I13*Asumsi!$B$7*Asumsi!$B$8*Input_Jalan!L13</f>
      </c>
      <c r="H13" s="0">
        <f>IF(ISNUMBER(SEARCH("GRADING",Input_Jalan!H13)),Input_Jalan!K13/Analisa_Produktivitas!$E$2,0)</f>
      </c>
      <c r="I13" s="0">
        <f>IF(ISNUMBER(SEARCH("RIPPING",Input_Jalan!H13)),=Input_Jalan!K13*Asumsi!$B$5*(Input_Jalan!M13+Input_Jalan!N13+Input_Jalan!O13)/Analisa_Produktivitas!$E$3,0)+IF(ISNUMBER(SEARCH("SPREADING",Input_Jalan!H13)),=Input_Jalan!K13*Asumsi!$B$5*(Input_Jalan!M13+Input_Jalan!N13+Input_Jalan!O13)/Analisa_Produktivitas!$E$4,0)+IF(ISNUMBER(SEARCH("BASECOURSE",Input_Jalan!H13)),=Input_Jalan!K13*Asumsi!$B$5*(Input_Jalan!M13+Input_Jalan!N13+Input_Jalan!O13)/Analisa_Produktivitas!$E$8,0)</f>
      </c>
      <c r="J13" s="0">
        <f>IF(OR(ISNUMBER(SEARCH("COMPACTING",Input_Jalan!H13)),ISNUMBER(SEARCH("PEMADATAN",Input_Jalan!H13))),=Input_Jalan!K13*Asumsi!$B$5*(Input_Jalan!M13+Input_Jalan!N13+Input_Jalan!O13)/Analisa_Produktivitas!$E$5,0)</f>
      </c>
      <c r="K13" s="0">
        <f>IF(ISNUMBER(SEARCH("DRAINASE",Input_Jalan!H13)),=Input_Jalan!I13*Asumsi!$B$7*Asumsi!$B$8*Input_Jalan!L13/Analisa_Produktivitas!$E$6,0)+IF(ISNUMBER(SEARCH("TANAH DASAR",Input_Jalan!H13)),=Input_Jalan!K13*Asumsi!$B$5*(Input_Jalan!M13+Input_Jalan!N13+Input_Jalan!O13)/Analisa_Produktivitas!$E$7,0)+IF(ISNUMBER(SEARCH("PATCHING",Input_Jalan!H13)),=Input_Jalan!K13*Asumsi!$B$5*(Input_Jalan!M13+Input_Jalan!N13+Input_Jalan!O13)/Analisa_Produktivitas!$E$9,0)</f>
      </c>
      <c r="L13" s="0">
        <f>IF(OR(ISNUMBER(SEARCH("COMPACTING",Input_Jalan!H13)),ISNUMBER(SEARCH("PEMADATAN",Input_Jalan!H13))),=Input_Jalan!K13*Asumsi!$B$5*(Input_Jalan!M13+Input_Jalan!N13+Input_Jalan!O13)*Asumsi!$B$9/Asumsi!$R$35,0)</f>
      </c>
      <c r="M13" s="0">
        <f>SUM(H13:L13)</f>
      </c>
      <c r="N13" s="0">
        <f>H13*Asumsi!$S$31+I13*Asumsi!$S$32+J13*Asumsi!$S$33+K13*Asumsi!$S$34+L13*Asumsi!$S$35</f>
      </c>
      <c r="O13" s="0">
        <f>IF(ISNUMBER(SEARCH("GRADING",Input_Jalan!H13)),"GRD ","")&amp;IF(ISNUMBER(SEARCH("RIPPING",Input_Jalan!H13)),"RIP ","")&amp;IF(ISNUMBER(SEARCH("SPREADING",Input_Jalan!H13)),"SPR ","")&amp;IF(ISNUMBER(SEARCH("COMPACTING",Input_Jalan!H13)),"CMP ","")&amp;IF(ISNUMBER(SEARCH("PEMADATAN",Input_Jalan!H13)),"CMP ","")&amp;IF(ISNUMBER(SEARCH("DRAINASE",Input_Jalan!H13)),"DRN ","")&amp;IF(ISNUMBER(SEARCH("TANAH DASAR",Input_Jalan!H13)),"SUB ","")&amp;IF(ISNUMBER(SEARCH("BASECOURSE",Input_Jalan!H13)),"BSC ","")&amp;IF(ISNUMBER(SEARCH("PATCHING",Input_Jalan!H13)),"PTH ","")&amp;IF(ISNUMBER(SEARCH("SEMENISASI",Input_Jalan!H13)),"SEM ","")</f>
      </c>
      <c r="P13" s="0">
        <f>IF(I13&gt;0,"AL-DZR ","")&amp;IF(H13&gt;0,"AL-GRD ","")&amp;IF(J13&gt;0,"AL-RLR ","")&amp;IF(K13&gt;0,"AL-EXC ","")&amp;IF(L13&gt;0,"AL-WTR","")</f>
      </c>
    </row>
    <row r="14">
      <c r="A14" s="0">
        <f>Input_Jalan!A14</f>
      </c>
      <c r="B14" s="0">
        <f>Input_Jalan!B14</f>
      </c>
      <c r="C14" s="0">
        <f>Input_Jalan!F14</f>
      </c>
      <c r="D14" s="0">
        <f>Input_Jalan!I14</f>
      </c>
      <c r="E14" s="0">
        <f>Input_Jalan!K14</f>
      </c>
      <c r="F14" s="0">
        <f>Input_Jalan!K14*Asumsi!$B$5*(Input_Jalan!M14+Input_Jalan!N14+Input_Jalan!O14)</f>
      </c>
      <c r="G14" s="0">
        <f>Input_Jalan!I14*Asumsi!$B$7*Asumsi!$B$8*Input_Jalan!L14</f>
      </c>
      <c r="H14" s="0">
        <f>IF(ISNUMBER(SEARCH("GRADING",Input_Jalan!H14)),Input_Jalan!K14/Analisa_Produktivitas!$E$2,0)</f>
      </c>
      <c r="I14" s="0">
        <f>IF(ISNUMBER(SEARCH("RIPPING",Input_Jalan!H14)),=Input_Jalan!K14*Asumsi!$B$5*(Input_Jalan!M14+Input_Jalan!N14+Input_Jalan!O14)/Analisa_Produktivitas!$E$3,0)+IF(ISNUMBER(SEARCH("SPREADING",Input_Jalan!H14)),=Input_Jalan!K14*Asumsi!$B$5*(Input_Jalan!M14+Input_Jalan!N14+Input_Jalan!O14)/Analisa_Produktivitas!$E$4,0)+IF(ISNUMBER(SEARCH("BASECOURSE",Input_Jalan!H14)),=Input_Jalan!K14*Asumsi!$B$5*(Input_Jalan!M14+Input_Jalan!N14+Input_Jalan!O14)/Analisa_Produktivitas!$E$8,0)</f>
      </c>
      <c r="J14" s="0">
        <f>IF(OR(ISNUMBER(SEARCH("COMPACTING",Input_Jalan!H14)),ISNUMBER(SEARCH("PEMADATAN",Input_Jalan!H14))),=Input_Jalan!K14*Asumsi!$B$5*(Input_Jalan!M14+Input_Jalan!N14+Input_Jalan!O14)/Analisa_Produktivitas!$E$5,0)</f>
      </c>
      <c r="K14" s="0">
        <f>IF(ISNUMBER(SEARCH("DRAINASE",Input_Jalan!H14)),=Input_Jalan!I14*Asumsi!$B$7*Asumsi!$B$8*Input_Jalan!L14/Analisa_Produktivitas!$E$6,0)+IF(ISNUMBER(SEARCH("TANAH DASAR",Input_Jalan!H14)),=Input_Jalan!K14*Asumsi!$B$5*(Input_Jalan!M14+Input_Jalan!N14+Input_Jalan!O14)/Analisa_Produktivitas!$E$7,0)+IF(ISNUMBER(SEARCH("PATCHING",Input_Jalan!H14)),=Input_Jalan!K14*Asumsi!$B$5*(Input_Jalan!M14+Input_Jalan!N14+Input_Jalan!O14)/Analisa_Produktivitas!$E$9,0)</f>
      </c>
      <c r="L14" s="0">
        <f>IF(OR(ISNUMBER(SEARCH("COMPACTING",Input_Jalan!H14)),ISNUMBER(SEARCH("PEMADATAN",Input_Jalan!H14))),=Input_Jalan!K14*Asumsi!$B$5*(Input_Jalan!M14+Input_Jalan!N14+Input_Jalan!O14)*Asumsi!$B$9/Asumsi!$R$35,0)</f>
      </c>
      <c r="M14" s="0">
        <f>SUM(H14:L14)</f>
      </c>
      <c r="N14" s="0">
        <f>H14*Asumsi!$S$31+I14*Asumsi!$S$32+J14*Asumsi!$S$33+K14*Asumsi!$S$34+L14*Asumsi!$S$35</f>
      </c>
      <c r="O14" s="0">
        <f>IF(ISNUMBER(SEARCH("GRADING",Input_Jalan!H14)),"GRD ","")&amp;IF(ISNUMBER(SEARCH("RIPPING",Input_Jalan!H14)),"RIP ","")&amp;IF(ISNUMBER(SEARCH("SPREADING",Input_Jalan!H14)),"SPR ","")&amp;IF(ISNUMBER(SEARCH("COMPACTING",Input_Jalan!H14)),"CMP ","")&amp;IF(ISNUMBER(SEARCH("PEMADATAN",Input_Jalan!H14)),"CMP ","")&amp;IF(ISNUMBER(SEARCH("DRAINASE",Input_Jalan!H14)),"DRN ","")&amp;IF(ISNUMBER(SEARCH("TANAH DASAR",Input_Jalan!H14)),"SUB ","")&amp;IF(ISNUMBER(SEARCH("BASECOURSE",Input_Jalan!H14)),"BSC ","")&amp;IF(ISNUMBER(SEARCH("PATCHING",Input_Jalan!H14)),"PTH ","")&amp;IF(ISNUMBER(SEARCH("SEMENISASI",Input_Jalan!H14)),"SEM ","")</f>
      </c>
      <c r="P14" s="0">
        <f>IF(I14&gt;0,"AL-DZR ","")&amp;IF(H14&gt;0,"AL-GRD ","")&amp;IF(J14&gt;0,"AL-RLR ","")&amp;IF(K14&gt;0,"AL-EXC ","")&amp;IF(L14&gt;0,"AL-WTR","")</f>
      </c>
    </row>
    <row r="15">
      <c r="A15" s="0">
        <f>Input_Jalan!A15</f>
      </c>
      <c r="B15" s="0">
        <f>Input_Jalan!B15</f>
      </c>
      <c r="C15" s="0">
        <f>Input_Jalan!F15</f>
      </c>
      <c r="D15" s="0">
        <f>Input_Jalan!I15</f>
      </c>
      <c r="E15" s="0">
        <f>Input_Jalan!K15</f>
      </c>
      <c r="F15" s="0">
        <f>Input_Jalan!K15*Asumsi!$B$5*(Input_Jalan!M15+Input_Jalan!N15+Input_Jalan!O15)</f>
      </c>
      <c r="G15" s="0">
        <f>Input_Jalan!I15*Asumsi!$B$7*Asumsi!$B$8*Input_Jalan!L15</f>
      </c>
      <c r="H15" s="0">
        <f>IF(ISNUMBER(SEARCH("GRADING",Input_Jalan!H15)),Input_Jalan!K15/Analisa_Produktivitas!$E$2,0)</f>
      </c>
      <c r="I15" s="0">
        <f>IF(ISNUMBER(SEARCH("RIPPING",Input_Jalan!H15)),=Input_Jalan!K15*Asumsi!$B$5*(Input_Jalan!M15+Input_Jalan!N15+Input_Jalan!O15)/Analisa_Produktivitas!$E$3,0)+IF(ISNUMBER(SEARCH("SPREADING",Input_Jalan!H15)),=Input_Jalan!K15*Asumsi!$B$5*(Input_Jalan!M15+Input_Jalan!N15+Input_Jalan!O15)/Analisa_Produktivitas!$E$4,0)+IF(ISNUMBER(SEARCH("BASECOURSE",Input_Jalan!H15)),=Input_Jalan!K15*Asumsi!$B$5*(Input_Jalan!M15+Input_Jalan!N15+Input_Jalan!O15)/Analisa_Produktivitas!$E$8,0)</f>
      </c>
      <c r="J15" s="0">
        <f>IF(OR(ISNUMBER(SEARCH("COMPACTING",Input_Jalan!H15)),ISNUMBER(SEARCH("PEMADATAN",Input_Jalan!H15))),=Input_Jalan!K15*Asumsi!$B$5*(Input_Jalan!M15+Input_Jalan!N15+Input_Jalan!O15)/Analisa_Produktivitas!$E$5,0)</f>
      </c>
      <c r="K15" s="0">
        <f>IF(ISNUMBER(SEARCH("DRAINASE",Input_Jalan!H15)),=Input_Jalan!I15*Asumsi!$B$7*Asumsi!$B$8*Input_Jalan!L15/Analisa_Produktivitas!$E$6,0)+IF(ISNUMBER(SEARCH("TANAH DASAR",Input_Jalan!H15)),=Input_Jalan!K15*Asumsi!$B$5*(Input_Jalan!M15+Input_Jalan!N15+Input_Jalan!O15)/Analisa_Produktivitas!$E$7,0)+IF(ISNUMBER(SEARCH("PATCHING",Input_Jalan!H15)),=Input_Jalan!K15*Asumsi!$B$5*(Input_Jalan!M15+Input_Jalan!N15+Input_Jalan!O15)/Analisa_Produktivitas!$E$9,0)</f>
      </c>
      <c r="L15" s="0">
        <f>IF(OR(ISNUMBER(SEARCH("COMPACTING",Input_Jalan!H15)),ISNUMBER(SEARCH("PEMADATAN",Input_Jalan!H15))),=Input_Jalan!K15*Asumsi!$B$5*(Input_Jalan!M15+Input_Jalan!N15+Input_Jalan!O15)*Asumsi!$B$9/Asumsi!$R$35,0)</f>
      </c>
      <c r="M15" s="0">
        <f>SUM(H15:L15)</f>
      </c>
      <c r="N15" s="0">
        <f>H15*Asumsi!$S$31+I15*Asumsi!$S$32+J15*Asumsi!$S$33+K15*Asumsi!$S$34+L15*Asumsi!$S$35</f>
      </c>
      <c r="O15" s="0">
        <f>IF(ISNUMBER(SEARCH("GRADING",Input_Jalan!H15)),"GRD ","")&amp;IF(ISNUMBER(SEARCH("RIPPING",Input_Jalan!H15)),"RIP ","")&amp;IF(ISNUMBER(SEARCH("SPREADING",Input_Jalan!H15)),"SPR ","")&amp;IF(ISNUMBER(SEARCH("COMPACTING",Input_Jalan!H15)),"CMP ","")&amp;IF(ISNUMBER(SEARCH("PEMADATAN",Input_Jalan!H15)),"CMP ","")&amp;IF(ISNUMBER(SEARCH("DRAINASE",Input_Jalan!H15)),"DRN ","")&amp;IF(ISNUMBER(SEARCH("TANAH DASAR",Input_Jalan!H15)),"SUB ","")&amp;IF(ISNUMBER(SEARCH("BASECOURSE",Input_Jalan!H15)),"BSC ","")&amp;IF(ISNUMBER(SEARCH("PATCHING",Input_Jalan!H15)),"PTH ","")&amp;IF(ISNUMBER(SEARCH("SEMENISASI",Input_Jalan!H15)),"SEM ","")</f>
      </c>
      <c r="P15" s="0">
        <f>IF(I15&gt;0,"AL-DZR ","")&amp;IF(H15&gt;0,"AL-GRD ","")&amp;IF(J15&gt;0,"AL-RLR ","")&amp;IF(K15&gt;0,"AL-EXC ","")&amp;IF(L15&gt;0,"AL-WTR","")</f>
      </c>
    </row>
    <row r="16">
      <c r="A16" s="0">
        <f>Input_Jalan!A16</f>
      </c>
      <c r="B16" s="0">
        <f>Input_Jalan!B16</f>
      </c>
      <c r="C16" s="0">
        <f>Input_Jalan!F16</f>
      </c>
      <c r="D16" s="0">
        <f>Input_Jalan!I16</f>
      </c>
      <c r="E16" s="0">
        <f>Input_Jalan!K16</f>
      </c>
      <c r="F16" s="0">
        <f>Input_Jalan!K16*Asumsi!$B$5*(Input_Jalan!M16+Input_Jalan!N16+Input_Jalan!O16)</f>
      </c>
      <c r="G16" s="0">
        <f>Input_Jalan!I16*Asumsi!$B$7*Asumsi!$B$8*Input_Jalan!L16</f>
      </c>
      <c r="H16" s="0">
        <f>IF(ISNUMBER(SEARCH("GRADING",Input_Jalan!H16)),Input_Jalan!K16/Analisa_Produktivitas!$E$2,0)</f>
      </c>
      <c r="I16" s="0">
        <f>IF(ISNUMBER(SEARCH("RIPPING",Input_Jalan!H16)),=Input_Jalan!K16*Asumsi!$B$5*(Input_Jalan!M16+Input_Jalan!N16+Input_Jalan!O16)/Analisa_Produktivitas!$E$3,0)+IF(ISNUMBER(SEARCH("SPREADING",Input_Jalan!H16)),=Input_Jalan!K16*Asumsi!$B$5*(Input_Jalan!M16+Input_Jalan!N16+Input_Jalan!O16)/Analisa_Produktivitas!$E$4,0)+IF(ISNUMBER(SEARCH("BASECOURSE",Input_Jalan!H16)),=Input_Jalan!K16*Asumsi!$B$5*(Input_Jalan!M16+Input_Jalan!N16+Input_Jalan!O16)/Analisa_Produktivitas!$E$8,0)</f>
      </c>
      <c r="J16" s="0">
        <f>IF(OR(ISNUMBER(SEARCH("COMPACTING",Input_Jalan!H16)),ISNUMBER(SEARCH("PEMADATAN",Input_Jalan!H16))),=Input_Jalan!K16*Asumsi!$B$5*(Input_Jalan!M16+Input_Jalan!N16+Input_Jalan!O16)/Analisa_Produktivitas!$E$5,0)</f>
      </c>
      <c r="K16" s="0">
        <f>IF(ISNUMBER(SEARCH("DRAINASE",Input_Jalan!H16)),=Input_Jalan!I16*Asumsi!$B$7*Asumsi!$B$8*Input_Jalan!L16/Analisa_Produktivitas!$E$6,0)+IF(ISNUMBER(SEARCH("TANAH DASAR",Input_Jalan!H16)),=Input_Jalan!K16*Asumsi!$B$5*(Input_Jalan!M16+Input_Jalan!N16+Input_Jalan!O16)/Analisa_Produktivitas!$E$7,0)+IF(ISNUMBER(SEARCH("PATCHING",Input_Jalan!H16)),=Input_Jalan!K16*Asumsi!$B$5*(Input_Jalan!M16+Input_Jalan!N16+Input_Jalan!O16)/Analisa_Produktivitas!$E$9,0)</f>
      </c>
      <c r="L16" s="0">
        <f>IF(OR(ISNUMBER(SEARCH("COMPACTING",Input_Jalan!H16)),ISNUMBER(SEARCH("PEMADATAN",Input_Jalan!H16))),=Input_Jalan!K16*Asumsi!$B$5*(Input_Jalan!M16+Input_Jalan!N16+Input_Jalan!O16)*Asumsi!$B$9/Asumsi!$R$35,0)</f>
      </c>
      <c r="M16" s="0">
        <f>SUM(H16:L16)</f>
      </c>
      <c r="N16" s="0">
        <f>H16*Asumsi!$S$31+I16*Asumsi!$S$32+J16*Asumsi!$S$33+K16*Asumsi!$S$34+L16*Asumsi!$S$35</f>
      </c>
      <c r="O16" s="0">
        <f>IF(ISNUMBER(SEARCH("GRADING",Input_Jalan!H16)),"GRD ","")&amp;IF(ISNUMBER(SEARCH("RIPPING",Input_Jalan!H16)),"RIP ","")&amp;IF(ISNUMBER(SEARCH("SPREADING",Input_Jalan!H16)),"SPR ","")&amp;IF(ISNUMBER(SEARCH("COMPACTING",Input_Jalan!H16)),"CMP ","")&amp;IF(ISNUMBER(SEARCH("PEMADATAN",Input_Jalan!H16)),"CMP ","")&amp;IF(ISNUMBER(SEARCH("DRAINASE",Input_Jalan!H16)),"DRN ","")&amp;IF(ISNUMBER(SEARCH("TANAH DASAR",Input_Jalan!H16)),"SUB ","")&amp;IF(ISNUMBER(SEARCH("BASECOURSE",Input_Jalan!H16)),"BSC ","")&amp;IF(ISNUMBER(SEARCH("PATCHING",Input_Jalan!H16)),"PTH ","")&amp;IF(ISNUMBER(SEARCH("SEMENISASI",Input_Jalan!H16)),"SEM ","")</f>
      </c>
      <c r="P16" s="0">
        <f>IF(I16&gt;0,"AL-DZR ","")&amp;IF(H16&gt;0,"AL-GRD ","")&amp;IF(J16&gt;0,"AL-RLR ","")&amp;IF(K16&gt;0,"AL-EXC ","")&amp;IF(L16&gt;0,"AL-WTR","")</f>
      </c>
    </row>
    <row r="17">
      <c r="A17" s="0">
        <f>Input_Jalan!A17</f>
      </c>
      <c r="B17" s="0">
        <f>Input_Jalan!B17</f>
      </c>
      <c r="C17" s="0">
        <f>Input_Jalan!F17</f>
      </c>
      <c r="D17" s="0">
        <f>Input_Jalan!I17</f>
      </c>
      <c r="E17" s="0">
        <f>Input_Jalan!K17</f>
      </c>
      <c r="F17" s="0">
        <f>Input_Jalan!K17*Asumsi!$B$5*(Input_Jalan!M17+Input_Jalan!N17+Input_Jalan!O17)</f>
      </c>
      <c r="G17" s="0">
        <f>Input_Jalan!I17*Asumsi!$B$7*Asumsi!$B$8*Input_Jalan!L17</f>
      </c>
      <c r="H17" s="0">
        <f>IF(ISNUMBER(SEARCH("GRADING",Input_Jalan!H17)),Input_Jalan!K17/Analisa_Produktivitas!$E$2,0)</f>
      </c>
      <c r="I17" s="0">
        <f>IF(ISNUMBER(SEARCH("RIPPING",Input_Jalan!H17)),=Input_Jalan!K17*Asumsi!$B$5*(Input_Jalan!M17+Input_Jalan!N17+Input_Jalan!O17)/Analisa_Produktivitas!$E$3,0)+IF(ISNUMBER(SEARCH("SPREADING",Input_Jalan!H17)),=Input_Jalan!K17*Asumsi!$B$5*(Input_Jalan!M17+Input_Jalan!N17+Input_Jalan!O17)/Analisa_Produktivitas!$E$4,0)+IF(ISNUMBER(SEARCH("BASECOURSE",Input_Jalan!H17)),=Input_Jalan!K17*Asumsi!$B$5*(Input_Jalan!M17+Input_Jalan!N17+Input_Jalan!O17)/Analisa_Produktivitas!$E$8,0)</f>
      </c>
      <c r="J17" s="0">
        <f>IF(OR(ISNUMBER(SEARCH("COMPACTING",Input_Jalan!H17)),ISNUMBER(SEARCH("PEMADATAN",Input_Jalan!H17))),=Input_Jalan!K17*Asumsi!$B$5*(Input_Jalan!M17+Input_Jalan!N17+Input_Jalan!O17)/Analisa_Produktivitas!$E$5,0)</f>
      </c>
      <c r="K17" s="0">
        <f>IF(ISNUMBER(SEARCH("DRAINASE",Input_Jalan!H17)),=Input_Jalan!I17*Asumsi!$B$7*Asumsi!$B$8*Input_Jalan!L17/Analisa_Produktivitas!$E$6,0)+IF(ISNUMBER(SEARCH("TANAH DASAR",Input_Jalan!H17)),=Input_Jalan!K17*Asumsi!$B$5*(Input_Jalan!M17+Input_Jalan!N17+Input_Jalan!O17)/Analisa_Produktivitas!$E$7,0)+IF(ISNUMBER(SEARCH("PATCHING",Input_Jalan!H17)),=Input_Jalan!K17*Asumsi!$B$5*(Input_Jalan!M17+Input_Jalan!N17+Input_Jalan!O17)/Analisa_Produktivitas!$E$9,0)</f>
      </c>
      <c r="L17" s="0">
        <f>IF(OR(ISNUMBER(SEARCH("COMPACTING",Input_Jalan!H17)),ISNUMBER(SEARCH("PEMADATAN",Input_Jalan!H17))),=Input_Jalan!K17*Asumsi!$B$5*(Input_Jalan!M17+Input_Jalan!N17+Input_Jalan!O17)*Asumsi!$B$9/Asumsi!$R$35,0)</f>
      </c>
      <c r="M17" s="0">
        <f>SUM(H17:L17)</f>
      </c>
      <c r="N17" s="0">
        <f>H17*Asumsi!$S$31+I17*Asumsi!$S$32+J17*Asumsi!$S$33+K17*Asumsi!$S$34+L17*Asumsi!$S$35</f>
      </c>
      <c r="O17" s="0">
        <f>IF(ISNUMBER(SEARCH("GRADING",Input_Jalan!H17)),"GRD ","")&amp;IF(ISNUMBER(SEARCH("RIPPING",Input_Jalan!H17)),"RIP ","")&amp;IF(ISNUMBER(SEARCH("SPREADING",Input_Jalan!H17)),"SPR ","")&amp;IF(ISNUMBER(SEARCH("COMPACTING",Input_Jalan!H17)),"CMP ","")&amp;IF(ISNUMBER(SEARCH("PEMADATAN",Input_Jalan!H17)),"CMP ","")&amp;IF(ISNUMBER(SEARCH("DRAINASE",Input_Jalan!H17)),"DRN ","")&amp;IF(ISNUMBER(SEARCH("TANAH DASAR",Input_Jalan!H17)),"SUB ","")&amp;IF(ISNUMBER(SEARCH("BASECOURSE",Input_Jalan!H17)),"BSC ","")&amp;IF(ISNUMBER(SEARCH("PATCHING",Input_Jalan!H17)),"PTH ","")&amp;IF(ISNUMBER(SEARCH("SEMENISASI",Input_Jalan!H17)),"SEM ","")</f>
      </c>
      <c r="P17" s="0">
        <f>IF(I17&gt;0,"AL-DZR ","")&amp;IF(H17&gt;0,"AL-GRD ","")&amp;IF(J17&gt;0,"AL-RLR ","")&amp;IF(K17&gt;0,"AL-EXC ","")&amp;IF(L17&gt;0,"AL-WTR","")</f>
      </c>
    </row>
    <row r="18">
      <c r="A18" s="0">
        <f>Input_Jalan!A18</f>
      </c>
      <c r="B18" s="0">
        <f>Input_Jalan!B18</f>
      </c>
      <c r="C18" s="0">
        <f>Input_Jalan!F18</f>
      </c>
      <c r="D18" s="0">
        <f>Input_Jalan!I18</f>
      </c>
      <c r="E18" s="0">
        <f>Input_Jalan!K18</f>
      </c>
      <c r="F18" s="0">
        <f>Input_Jalan!K18*Asumsi!$B$5*(Input_Jalan!M18+Input_Jalan!N18+Input_Jalan!O18)</f>
      </c>
      <c r="G18" s="0">
        <f>Input_Jalan!I18*Asumsi!$B$7*Asumsi!$B$8*Input_Jalan!L18</f>
      </c>
      <c r="H18" s="0">
        <f>IF(ISNUMBER(SEARCH("GRADING",Input_Jalan!H18)),Input_Jalan!K18/Analisa_Produktivitas!$E$2,0)</f>
      </c>
      <c r="I18" s="0">
        <f>IF(ISNUMBER(SEARCH("RIPPING",Input_Jalan!H18)),=Input_Jalan!K18*Asumsi!$B$5*(Input_Jalan!M18+Input_Jalan!N18+Input_Jalan!O18)/Analisa_Produktivitas!$E$3,0)+IF(ISNUMBER(SEARCH("SPREADING",Input_Jalan!H18)),=Input_Jalan!K18*Asumsi!$B$5*(Input_Jalan!M18+Input_Jalan!N18+Input_Jalan!O18)/Analisa_Produktivitas!$E$4,0)+IF(ISNUMBER(SEARCH("BASECOURSE",Input_Jalan!H18)),=Input_Jalan!K18*Asumsi!$B$5*(Input_Jalan!M18+Input_Jalan!N18+Input_Jalan!O18)/Analisa_Produktivitas!$E$8,0)</f>
      </c>
      <c r="J18" s="0">
        <f>IF(OR(ISNUMBER(SEARCH("COMPACTING",Input_Jalan!H18)),ISNUMBER(SEARCH("PEMADATAN",Input_Jalan!H18))),=Input_Jalan!K18*Asumsi!$B$5*(Input_Jalan!M18+Input_Jalan!N18+Input_Jalan!O18)/Analisa_Produktivitas!$E$5,0)</f>
      </c>
      <c r="K18" s="0">
        <f>IF(ISNUMBER(SEARCH("DRAINASE",Input_Jalan!H18)),=Input_Jalan!I18*Asumsi!$B$7*Asumsi!$B$8*Input_Jalan!L18/Analisa_Produktivitas!$E$6,0)+IF(ISNUMBER(SEARCH("TANAH DASAR",Input_Jalan!H18)),=Input_Jalan!K18*Asumsi!$B$5*(Input_Jalan!M18+Input_Jalan!N18+Input_Jalan!O18)/Analisa_Produktivitas!$E$7,0)+IF(ISNUMBER(SEARCH("PATCHING",Input_Jalan!H18)),=Input_Jalan!K18*Asumsi!$B$5*(Input_Jalan!M18+Input_Jalan!N18+Input_Jalan!O18)/Analisa_Produktivitas!$E$9,0)</f>
      </c>
      <c r="L18" s="0">
        <f>IF(OR(ISNUMBER(SEARCH("COMPACTING",Input_Jalan!H18)),ISNUMBER(SEARCH("PEMADATAN",Input_Jalan!H18))),=Input_Jalan!K18*Asumsi!$B$5*(Input_Jalan!M18+Input_Jalan!N18+Input_Jalan!O18)*Asumsi!$B$9/Asumsi!$R$35,0)</f>
      </c>
      <c r="M18" s="0">
        <f>SUM(H18:L18)</f>
      </c>
      <c r="N18" s="0">
        <f>H18*Asumsi!$S$31+I18*Asumsi!$S$32+J18*Asumsi!$S$33+K18*Asumsi!$S$34+L18*Asumsi!$S$35</f>
      </c>
      <c r="O18" s="0">
        <f>IF(ISNUMBER(SEARCH("GRADING",Input_Jalan!H18)),"GRD ","")&amp;IF(ISNUMBER(SEARCH("RIPPING",Input_Jalan!H18)),"RIP ","")&amp;IF(ISNUMBER(SEARCH("SPREADING",Input_Jalan!H18)),"SPR ","")&amp;IF(ISNUMBER(SEARCH("COMPACTING",Input_Jalan!H18)),"CMP ","")&amp;IF(ISNUMBER(SEARCH("PEMADATAN",Input_Jalan!H18)),"CMP ","")&amp;IF(ISNUMBER(SEARCH("DRAINASE",Input_Jalan!H18)),"DRN ","")&amp;IF(ISNUMBER(SEARCH("TANAH DASAR",Input_Jalan!H18)),"SUB ","")&amp;IF(ISNUMBER(SEARCH("BASECOURSE",Input_Jalan!H18)),"BSC ","")&amp;IF(ISNUMBER(SEARCH("PATCHING",Input_Jalan!H18)),"PTH ","")&amp;IF(ISNUMBER(SEARCH("SEMENISASI",Input_Jalan!H18)),"SEM ","")</f>
      </c>
      <c r="P18" s="0">
        <f>IF(I18&gt;0,"AL-DZR ","")&amp;IF(H18&gt;0,"AL-GRD ","")&amp;IF(J18&gt;0,"AL-RLR ","")&amp;IF(K18&gt;0,"AL-EXC ","")&amp;IF(L18&gt;0,"AL-WTR","")</f>
      </c>
    </row>
    <row r="19">
      <c r="A19" s="0">
        <f>Input_Jalan!A19</f>
      </c>
      <c r="B19" s="0">
        <f>Input_Jalan!B19</f>
      </c>
      <c r="C19" s="0">
        <f>Input_Jalan!F19</f>
      </c>
      <c r="D19" s="0">
        <f>Input_Jalan!I19</f>
      </c>
      <c r="E19" s="0">
        <f>Input_Jalan!K19</f>
      </c>
      <c r="F19" s="0">
        <f>Input_Jalan!K19*Asumsi!$B$5*(Input_Jalan!M19+Input_Jalan!N19+Input_Jalan!O19)</f>
      </c>
      <c r="G19" s="0">
        <f>Input_Jalan!I19*Asumsi!$B$7*Asumsi!$B$8*Input_Jalan!L19</f>
      </c>
      <c r="H19" s="0">
        <f>IF(ISNUMBER(SEARCH("GRADING",Input_Jalan!H19)),Input_Jalan!K19/Analisa_Produktivitas!$E$2,0)</f>
      </c>
      <c r="I19" s="0">
        <f>IF(ISNUMBER(SEARCH("RIPPING",Input_Jalan!H19)),=Input_Jalan!K19*Asumsi!$B$5*(Input_Jalan!M19+Input_Jalan!N19+Input_Jalan!O19)/Analisa_Produktivitas!$E$3,0)+IF(ISNUMBER(SEARCH("SPREADING",Input_Jalan!H19)),=Input_Jalan!K19*Asumsi!$B$5*(Input_Jalan!M19+Input_Jalan!N19+Input_Jalan!O19)/Analisa_Produktivitas!$E$4,0)+IF(ISNUMBER(SEARCH("BASECOURSE",Input_Jalan!H19)),=Input_Jalan!K19*Asumsi!$B$5*(Input_Jalan!M19+Input_Jalan!N19+Input_Jalan!O19)/Analisa_Produktivitas!$E$8,0)</f>
      </c>
      <c r="J19" s="0">
        <f>IF(OR(ISNUMBER(SEARCH("COMPACTING",Input_Jalan!H19)),ISNUMBER(SEARCH("PEMADATAN",Input_Jalan!H19))),=Input_Jalan!K19*Asumsi!$B$5*(Input_Jalan!M19+Input_Jalan!N19+Input_Jalan!O19)/Analisa_Produktivitas!$E$5,0)</f>
      </c>
      <c r="K19" s="0">
        <f>IF(ISNUMBER(SEARCH("DRAINASE",Input_Jalan!H19)),=Input_Jalan!I19*Asumsi!$B$7*Asumsi!$B$8*Input_Jalan!L19/Analisa_Produktivitas!$E$6,0)+IF(ISNUMBER(SEARCH("TANAH DASAR",Input_Jalan!H19)),=Input_Jalan!K19*Asumsi!$B$5*(Input_Jalan!M19+Input_Jalan!N19+Input_Jalan!O19)/Analisa_Produktivitas!$E$7,0)+IF(ISNUMBER(SEARCH("PATCHING",Input_Jalan!H19)),=Input_Jalan!K19*Asumsi!$B$5*(Input_Jalan!M19+Input_Jalan!N19+Input_Jalan!O19)/Analisa_Produktivitas!$E$9,0)</f>
      </c>
      <c r="L19" s="0">
        <f>IF(OR(ISNUMBER(SEARCH("COMPACTING",Input_Jalan!H19)),ISNUMBER(SEARCH("PEMADATAN",Input_Jalan!H19))),=Input_Jalan!K19*Asumsi!$B$5*(Input_Jalan!M19+Input_Jalan!N19+Input_Jalan!O19)*Asumsi!$B$9/Asumsi!$R$35,0)</f>
      </c>
      <c r="M19" s="0">
        <f>SUM(H19:L19)</f>
      </c>
      <c r="N19" s="0">
        <f>H19*Asumsi!$S$31+I19*Asumsi!$S$32+J19*Asumsi!$S$33+K19*Asumsi!$S$34+L19*Asumsi!$S$35</f>
      </c>
      <c r="O19" s="0">
        <f>IF(ISNUMBER(SEARCH("GRADING",Input_Jalan!H19)),"GRD ","")&amp;IF(ISNUMBER(SEARCH("RIPPING",Input_Jalan!H19)),"RIP ","")&amp;IF(ISNUMBER(SEARCH("SPREADING",Input_Jalan!H19)),"SPR ","")&amp;IF(ISNUMBER(SEARCH("COMPACTING",Input_Jalan!H19)),"CMP ","")&amp;IF(ISNUMBER(SEARCH("PEMADATAN",Input_Jalan!H19)),"CMP ","")&amp;IF(ISNUMBER(SEARCH("DRAINASE",Input_Jalan!H19)),"DRN ","")&amp;IF(ISNUMBER(SEARCH("TANAH DASAR",Input_Jalan!H19)),"SUB ","")&amp;IF(ISNUMBER(SEARCH("BASECOURSE",Input_Jalan!H19)),"BSC ","")&amp;IF(ISNUMBER(SEARCH("PATCHING",Input_Jalan!H19)),"PTH ","")&amp;IF(ISNUMBER(SEARCH("SEMENISASI",Input_Jalan!H19)),"SEM ","")</f>
      </c>
      <c r="P19" s="0">
        <f>IF(I19&gt;0,"AL-DZR ","")&amp;IF(H19&gt;0,"AL-GRD ","")&amp;IF(J19&gt;0,"AL-RLR ","")&amp;IF(K19&gt;0,"AL-EXC ","")&amp;IF(L19&gt;0,"AL-WTR","")</f>
      </c>
    </row>
    <row r="20">
      <c r="A20" s="0">
        <f>Input_Jalan!A20</f>
      </c>
      <c r="B20" s="0">
        <f>Input_Jalan!B20</f>
      </c>
      <c r="C20" s="0">
        <f>Input_Jalan!F20</f>
      </c>
      <c r="D20" s="0">
        <f>Input_Jalan!I20</f>
      </c>
      <c r="E20" s="0">
        <f>Input_Jalan!K20</f>
      </c>
      <c r="F20" s="0">
        <f>Input_Jalan!K20*Asumsi!$B$5*(Input_Jalan!M20+Input_Jalan!N20+Input_Jalan!O20)</f>
      </c>
      <c r="G20" s="0">
        <f>Input_Jalan!I20*Asumsi!$B$7*Asumsi!$B$8*Input_Jalan!L20</f>
      </c>
      <c r="H20" s="0">
        <f>IF(ISNUMBER(SEARCH("GRADING",Input_Jalan!H20)),Input_Jalan!K20/Analisa_Produktivitas!$E$2,0)</f>
      </c>
      <c r="I20" s="0">
        <f>IF(ISNUMBER(SEARCH("RIPPING",Input_Jalan!H20)),=Input_Jalan!K20*Asumsi!$B$5*(Input_Jalan!M20+Input_Jalan!N20+Input_Jalan!O20)/Analisa_Produktivitas!$E$3,0)+IF(ISNUMBER(SEARCH("SPREADING",Input_Jalan!H20)),=Input_Jalan!K20*Asumsi!$B$5*(Input_Jalan!M20+Input_Jalan!N20+Input_Jalan!O20)/Analisa_Produktivitas!$E$4,0)+IF(ISNUMBER(SEARCH("BASECOURSE",Input_Jalan!H20)),=Input_Jalan!K20*Asumsi!$B$5*(Input_Jalan!M20+Input_Jalan!N20+Input_Jalan!O20)/Analisa_Produktivitas!$E$8,0)</f>
      </c>
      <c r="J20" s="0">
        <f>IF(OR(ISNUMBER(SEARCH("COMPACTING",Input_Jalan!H20)),ISNUMBER(SEARCH("PEMADATAN",Input_Jalan!H20))),=Input_Jalan!K20*Asumsi!$B$5*(Input_Jalan!M20+Input_Jalan!N20+Input_Jalan!O20)/Analisa_Produktivitas!$E$5,0)</f>
      </c>
      <c r="K20" s="0">
        <f>IF(ISNUMBER(SEARCH("DRAINASE",Input_Jalan!H20)),=Input_Jalan!I20*Asumsi!$B$7*Asumsi!$B$8*Input_Jalan!L20/Analisa_Produktivitas!$E$6,0)+IF(ISNUMBER(SEARCH("TANAH DASAR",Input_Jalan!H20)),=Input_Jalan!K20*Asumsi!$B$5*(Input_Jalan!M20+Input_Jalan!N20+Input_Jalan!O20)/Analisa_Produktivitas!$E$7,0)+IF(ISNUMBER(SEARCH("PATCHING",Input_Jalan!H20)),=Input_Jalan!K20*Asumsi!$B$5*(Input_Jalan!M20+Input_Jalan!N20+Input_Jalan!O20)/Analisa_Produktivitas!$E$9,0)</f>
      </c>
      <c r="L20" s="0">
        <f>IF(OR(ISNUMBER(SEARCH("COMPACTING",Input_Jalan!H20)),ISNUMBER(SEARCH("PEMADATAN",Input_Jalan!H20))),=Input_Jalan!K20*Asumsi!$B$5*(Input_Jalan!M20+Input_Jalan!N20+Input_Jalan!O20)*Asumsi!$B$9/Asumsi!$R$35,0)</f>
      </c>
      <c r="M20" s="0">
        <f>SUM(H20:L20)</f>
      </c>
      <c r="N20" s="0">
        <f>H20*Asumsi!$S$31+I20*Asumsi!$S$32+J20*Asumsi!$S$33+K20*Asumsi!$S$34+L20*Asumsi!$S$35</f>
      </c>
      <c r="O20" s="0">
        <f>IF(ISNUMBER(SEARCH("GRADING",Input_Jalan!H20)),"GRD ","")&amp;IF(ISNUMBER(SEARCH("RIPPING",Input_Jalan!H20)),"RIP ","")&amp;IF(ISNUMBER(SEARCH("SPREADING",Input_Jalan!H20)),"SPR ","")&amp;IF(ISNUMBER(SEARCH("COMPACTING",Input_Jalan!H20)),"CMP ","")&amp;IF(ISNUMBER(SEARCH("PEMADATAN",Input_Jalan!H20)),"CMP ","")&amp;IF(ISNUMBER(SEARCH("DRAINASE",Input_Jalan!H20)),"DRN ","")&amp;IF(ISNUMBER(SEARCH("TANAH DASAR",Input_Jalan!H20)),"SUB ","")&amp;IF(ISNUMBER(SEARCH("BASECOURSE",Input_Jalan!H20)),"BSC ","")&amp;IF(ISNUMBER(SEARCH("PATCHING",Input_Jalan!H20)),"PTH ","")&amp;IF(ISNUMBER(SEARCH("SEMENISASI",Input_Jalan!H20)),"SEM ","")</f>
      </c>
      <c r="P20" s="0">
        <f>IF(I20&gt;0,"AL-DZR ","")&amp;IF(H20&gt;0,"AL-GRD ","")&amp;IF(J20&gt;0,"AL-RLR ","")&amp;IF(K20&gt;0,"AL-EXC ","")&amp;IF(L20&gt;0,"AL-WTR","")</f>
      </c>
    </row>
    <row r="21">
      <c r="A21" s="0">
        <f>Input_Jalan!A21</f>
      </c>
      <c r="B21" s="0">
        <f>Input_Jalan!B21</f>
      </c>
      <c r="C21" s="0">
        <f>Input_Jalan!F21</f>
      </c>
      <c r="D21" s="0">
        <f>Input_Jalan!I21</f>
      </c>
      <c r="E21" s="0">
        <f>Input_Jalan!K21</f>
      </c>
      <c r="F21" s="0">
        <f>Input_Jalan!K21*Asumsi!$B$5*(Input_Jalan!M21+Input_Jalan!N21+Input_Jalan!O21)</f>
      </c>
      <c r="G21" s="0">
        <f>Input_Jalan!I21*Asumsi!$B$7*Asumsi!$B$8*Input_Jalan!L21</f>
      </c>
      <c r="H21" s="0">
        <f>IF(ISNUMBER(SEARCH("GRADING",Input_Jalan!H21)),Input_Jalan!K21/Analisa_Produktivitas!$E$2,0)</f>
      </c>
      <c r="I21" s="0">
        <f>IF(ISNUMBER(SEARCH("RIPPING",Input_Jalan!H21)),=Input_Jalan!K21*Asumsi!$B$5*(Input_Jalan!M21+Input_Jalan!N21+Input_Jalan!O21)/Analisa_Produktivitas!$E$3,0)+IF(ISNUMBER(SEARCH("SPREADING",Input_Jalan!H21)),=Input_Jalan!K21*Asumsi!$B$5*(Input_Jalan!M21+Input_Jalan!N21+Input_Jalan!O21)/Analisa_Produktivitas!$E$4,0)+IF(ISNUMBER(SEARCH("BASECOURSE",Input_Jalan!H21)),=Input_Jalan!K21*Asumsi!$B$5*(Input_Jalan!M21+Input_Jalan!N21+Input_Jalan!O21)/Analisa_Produktivitas!$E$8,0)</f>
      </c>
      <c r="J21" s="0">
        <f>IF(OR(ISNUMBER(SEARCH("COMPACTING",Input_Jalan!H21)),ISNUMBER(SEARCH("PEMADATAN",Input_Jalan!H21))),=Input_Jalan!K21*Asumsi!$B$5*(Input_Jalan!M21+Input_Jalan!N21+Input_Jalan!O21)/Analisa_Produktivitas!$E$5,0)</f>
      </c>
      <c r="K21" s="0">
        <f>IF(ISNUMBER(SEARCH("DRAINASE",Input_Jalan!H21)),=Input_Jalan!I21*Asumsi!$B$7*Asumsi!$B$8*Input_Jalan!L21/Analisa_Produktivitas!$E$6,0)+IF(ISNUMBER(SEARCH("TANAH DASAR",Input_Jalan!H21)),=Input_Jalan!K21*Asumsi!$B$5*(Input_Jalan!M21+Input_Jalan!N21+Input_Jalan!O21)/Analisa_Produktivitas!$E$7,0)+IF(ISNUMBER(SEARCH("PATCHING",Input_Jalan!H21)),=Input_Jalan!K21*Asumsi!$B$5*(Input_Jalan!M21+Input_Jalan!N21+Input_Jalan!O21)/Analisa_Produktivitas!$E$9,0)</f>
      </c>
      <c r="L21" s="0">
        <f>IF(OR(ISNUMBER(SEARCH("COMPACTING",Input_Jalan!H21)),ISNUMBER(SEARCH("PEMADATAN",Input_Jalan!H21))),=Input_Jalan!K21*Asumsi!$B$5*(Input_Jalan!M21+Input_Jalan!N21+Input_Jalan!O21)*Asumsi!$B$9/Asumsi!$R$35,0)</f>
      </c>
      <c r="M21" s="0">
        <f>SUM(H21:L21)</f>
      </c>
      <c r="N21" s="0">
        <f>H21*Asumsi!$S$31+I21*Asumsi!$S$32+J21*Asumsi!$S$33+K21*Asumsi!$S$34+L21*Asumsi!$S$35</f>
      </c>
      <c r="O21" s="0">
        <f>IF(ISNUMBER(SEARCH("GRADING",Input_Jalan!H21)),"GRD ","")&amp;IF(ISNUMBER(SEARCH("RIPPING",Input_Jalan!H21)),"RIP ","")&amp;IF(ISNUMBER(SEARCH("SPREADING",Input_Jalan!H21)),"SPR ","")&amp;IF(ISNUMBER(SEARCH("COMPACTING",Input_Jalan!H21)),"CMP ","")&amp;IF(ISNUMBER(SEARCH("PEMADATAN",Input_Jalan!H21)),"CMP ","")&amp;IF(ISNUMBER(SEARCH("DRAINASE",Input_Jalan!H21)),"DRN ","")&amp;IF(ISNUMBER(SEARCH("TANAH DASAR",Input_Jalan!H21)),"SUB ","")&amp;IF(ISNUMBER(SEARCH("BASECOURSE",Input_Jalan!H21)),"BSC ","")&amp;IF(ISNUMBER(SEARCH("PATCHING",Input_Jalan!H21)),"PTH ","")&amp;IF(ISNUMBER(SEARCH("SEMENISASI",Input_Jalan!H21)),"SEM ","")</f>
      </c>
      <c r="P21" s="0">
        <f>IF(I21&gt;0,"AL-DZR ","")&amp;IF(H21&gt;0,"AL-GRD ","")&amp;IF(J21&gt;0,"AL-RLR ","")&amp;IF(K21&gt;0,"AL-EXC ","")&amp;IF(L21&gt;0,"AL-WTR","")</f>
      </c>
    </row>
    <row r="22">
      <c r="A22" s="0">
        <f>Input_Jalan!A22</f>
      </c>
      <c r="B22" s="0">
        <f>Input_Jalan!B22</f>
      </c>
      <c r="C22" s="0">
        <f>Input_Jalan!F22</f>
      </c>
      <c r="D22" s="0">
        <f>Input_Jalan!I22</f>
      </c>
      <c r="E22" s="0">
        <f>Input_Jalan!K22</f>
      </c>
      <c r="F22" s="0">
        <f>Input_Jalan!K22*Asumsi!$B$5*(Input_Jalan!M22+Input_Jalan!N22+Input_Jalan!O22)</f>
      </c>
      <c r="G22" s="0">
        <f>Input_Jalan!I22*Asumsi!$B$7*Asumsi!$B$8*Input_Jalan!L22</f>
      </c>
      <c r="H22" s="0">
        <f>IF(ISNUMBER(SEARCH("GRADING",Input_Jalan!H22)),Input_Jalan!K22/Analisa_Produktivitas!$E$2,0)</f>
      </c>
      <c r="I22" s="0">
        <f>IF(ISNUMBER(SEARCH("RIPPING",Input_Jalan!H22)),=Input_Jalan!K22*Asumsi!$B$5*(Input_Jalan!M22+Input_Jalan!N22+Input_Jalan!O22)/Analisa_Produktivitas!$E$3,0)+IF(ISNUMBER(SEARCH("SPREADING",Input_Jalan!H22)),=Input_Jalan!K22*Asumsi!$B$5*(Input_Jalan!M22+Input_Jalan!N22+Input_Jalan!O22)/Analisa_Produktivitas!$E$4,0)+IF(ISNUMBER(SEARCH("BASECOURSE",Input_Jalan!H22)),=Input_Jalan!K22*Asumsi!$B$5*(Input_Jalan!M22+Input_Jalan!N22+Input_Jalan!O22)/Analisa_Produktivitas!$E$8,0)</f>
      </c>
      <c r="J22" s="0">
        <f>IF(OR(ISNUMBER(SEARCH("COMPACTING",Input_Jalan!H22)),ISNUMBER(SEARCH("PEMADATAN",Input_Jalan!H22))),=Input_Jalan!K22*Asumsi!$B$5*(Input_Jalan!M22+Input_Jalan!N22+Input_Jalan!O22)/Analisa_Produktivitas!$E$5,0)</f>
      </c>
      <c r="K22" s="0">
        <f>IF(ISNUMBER(SEARCH("DRAINASE",Input_Jalan!H22)),=Input_Jalan!I22*Asumsi!$B$7*Asumsi!$B$8*Input_Jalan!L22/Analisa_Produktivitas!$E$6,0)+IF(ISNUMBER(SEARCH("TANAH DASAR",Input_Jalan!H22)),=Input_Jalan!K22*Asumsi!$B$5*(Input_Jalan!M22+Input_Jalan!N22+Input_Jalan!O22)/Analisa_Produktivitas!$E$7,0)+IF(ISNUMBER(SEARCH("PATCHING",Input_Jalan!H22)),=Input_Jalan!K22*Asumsi!$B$5*(Input_Jalan!M22+Input_Jalan!N22+Input_Jalan!O22)/Analisa_Produktivitas!$E$9,0)</f>
      </c>
      <c r="L22" s="0">
        <f>IF(OR(ISNUMBER(SEARCH("COMPACTING",Input_Jalan!H22)),ISNUMBER(SEARCH("PEMADATAN",Input_Jalan!H22))),=Input_Jalan!K22*Asumsi!$B$5*(Input_Jalan!M22+Input_Jalan!N22+Input_Jalan!O22)*Asumsi!$B$9/Asumsi!$R$35,0)</f>
      </c>
      <c r="M22" s="0">
        <f>SUM(H22:L22)</f>
      </c>
      <c r="N22" s="0">
        <f>H22*Asumsi!$S$31+I22*Asumsi!$S$32+J22*Asumsi!$S$33+K22*Asumsi!$S$34+L22*Asumsi!$S$35</f>
      </c>
      <c r="O22" s="0">
        <f>IF(ISNUMBER(SEARCH("GRADING",Input_Jalan!H22)),"GRD ","")&amp;IF(ISNUMBER(SEARCH("RIPPING",Input_Jalan!H22)),"RIP ","")&amp;IF(ISNUMBER(SEARCH("SPREADING",Input_Jalan!H22)),"SPR ","")&amp;IF(ISNUMBER(SEARCH("COMPACTING",Input_Jalan!H22)),"CMP ","")&amp;IF(ISNUMBER(SEARCH("PEMADATAN",Input_Jalan!H22)),"CMP ","")&amp;IF(ISNUMBER(SEARCH("DRAINASE",Input_Jalan!H22)),"DRN ","")&amp;IF(ISNUMBER(SEARCH("TANAH DASAR",Input_Jalan!H22)),"SUB ","")&amp;IF(ISNUMBER(SEARCH("BASECOURSE",Input_Jalan!H22)),"BSC ","")&amp;IF(ISNUMBER(SEARCH("PATCHING",Input_Jalan!H22)),"PTH ","")&amp;IF(ISNUMBER(SEARCH("SEMENISASI",Input_Jalan!H22)),"SEM ","")</f>
      </c>
      <c r="P22" s="0">
        <f>IF(I22&gt;0,"AL-DZR ","")&amp;IF(H22&gt;0,"AL-GRD ","")&amp;IF(J22&gt;0,"AL-RLR ","")&amp;IF(K22&gt;0,"AL-EXC ","")&amp;IF(L22&gt;0,"AL-WTR","")</f>
      </c>
    </row>
    <row r="23">
      <c r="A23" s="0">
        <f>Input_Jalan!A23</f>
      </c>
      <c r="B23" s="0">
        <f>Input_Jalan!B23</f>
      </c>
      <c r="C23" s="0">
        <f>Input_Jalan!F23</f>
      </c>
      <c r="D23" s="0">
        <f>Input_Jalan!I23</f>
      </c>
      <c r="E23" s="0">
        <f>Input_Jalan!K23</f>
      </c>
      <c r="F23" s="0">
        <f>Input_Jalan!K23*Asumsi!$B$5*(Input_Jalan!M23+Input_Jalan!N23+Input_Jalan!O23)</f>
      </c>
      <c r="G23" s="0">
        <f>Input_Jalan!I23*Asumsi!$B$7*Asumsi!$B$8*Input_Jalan!L23</f>
      </c>
      <c r="H23" s="0">
        <f>IF(ISNUMBER(SEARCH("GRADING",Input_Jalan!H23)),Input_Jalan!K23/Analisa_Produktivitas!$E$2,0)</f>
      </c>
      <c r="I23" s="0">
        <f>IF(ISNUMBER(SEARCH("RIPPING",Input_Jalan!H23)),=Input_Jalan!K23*Asumsi!$B$5*(Input_Jalan!M23+Input_Jalan!N23+Input_Jalan!O23)/Analisa_Produktivitas!$E$3,0)+IF(ISNUMBER(SEARCH("SPREADING",Input_Jalan!H23)),=Input_Jalan!K23*Asumsi!$B$5*(Input_Jalan!M23+Input_Jalan!N23+Input_Jalan!O23)/Analisa_Produktivitas!$E$4,0)+IF(ISNUMBER(SEARCH("BASECOURSE",Input_Jalan!H23)),=Input_Jalan!K23*Asumsi!$B$5*(Input_Jalan!M23+Input_Jalan!N23+Input_Jalan!O23)/Analisa_Produktivitas!$E$8,0)</f>
      </c>
      <c r="J23" s="0">
        <f>IF(OR(ISNUMBER(SEARCH("COMPACTING",Input_Jalan!H23)),ISNUMBER(SEARCH("PEMADATAN",Input_Jalan!H23))),=Input_Jalan!K23*Asumsi!$B$5*(Input_Jalan!M23+Input_Jalan!N23+Input_Jalan!O23)/Analisa_Produktivitas!$E$5,0)</f>
      </c>
      <c r="K23" s="0">
        <f>IF(ISNUMBER(SEARCH("DRAINASE",Input_Jalan!H23)),=Input_Jalan!I23*Asumsi!$B$7*Asumsi!$B$8*Input_Jalan!L23/Analisa_Produktivitas!$E$6,0)+IF(ISNUMBER(SEARCH("TANAH DASAR",Input_Jalan!H23)),=Input_Jalan!K23*Asumsi!$B$5*(Input_Jalan!M23+Input_Jalan!N23+Input_Jalan!O23)/Analisa_Produktivitas!$E$7,0)+IF(ISNUMBER(SEARCH("PATCHING",Input_Jalan!H23)),=Input_Jalan!K23*Asumsi!$B$5*(Input_Jalan!M23+Input_Jalan!N23+Input_Jalan!O23)/Analisa_Produktivitas!$E$9,0)</f>
      </c>
      <c r="L23" s="0">
        <f>IF(OR(ISNUMBER(SEARCH("COMPACTING",Input_Jalan!H23)),ISNUMBER(SEARCH("PEMADATAN",Input_Jalan!H23))),=Input_Jalan!K23*Asumsi!$B$5*(Input_Jalan!M23+Input_Jalan!N23+Input_Jalan!O23)*Asumsi!$B$9/Asumsi!$R$35,0)</f>
      </c>
      <c r="M23" s="0">
        <f>SUM(H23:L23)</f>
      </c>
      <c r="N23" s="0">
        <f>H23*Asumsi!$S$31+I23*Asumsi!$S$32+J23*Asumsi!$S$33+K23*Asumsi!$S$34+L23*Asumsi!$S$35</f>
      </c>
      <c r="O23" s="0">
        <f>IF(ISNUMBER(SEARCH("GRADING",Input_Jalan!H23)),"GRD ","")&amp;IF(ISNUMBER(SEARCH("RIPPING",Input_Jalan!H23)),"RIP ","")&amp;IF(ISNUMBER(SEARCH("SPREADING",Input_Jalan!H23)),"SPR ","")&amp;IF(ISNUMBER(SEARCH("COMPACTING",Input_Jalan!H23)),"CMP ","")&amp;IF(ISNUMBER(SEARCH("PEMADATAN",Input_Jalan!H23)),"CMP ","")&amp;IF(ISNUMBER(SEARCH("DRAINASE",Input_Jalan!H23)),"DRN ","")&amp;IF(ISNUMBER(SEARCH("TANAH DASAR",Input_Jalan!H23)),"SUB ","")&amp;IF(ISNUMBER(SEARCH("BASECOURSE",Input_Jalan!H23)),"BSC ","")&amp;IF(ISNUMBER(SEARCH("PATCHING",Input_Jalan!H23)),"PTH ","")&amp;IF(ISNUMBER(SEARCH("SEMENISASI",Input_Jalan!H23)),"SEM ","")</f>
      </c>
      <c r="P23" s="0">
        <f>IF(I23&gt;0,"AL-DZR ","")&amp;IF(H23&gt;0,"AL-GRD ","")&amp;IF(J23&gt;0,"AL-RLR ","")&amp;IF(K23&gt;0,"AL-EXC ","")&amp;IF(L23&gt;0,"AL-WTR","")</f>
      </c>
    </row>
    <row r="24">
      <c r="A24" s="0">
        <f>Input_Jalan!A24</f>
      </c>
      <c r="B24" s="0">
        <f>Input_Jalan!B24</f>
      </c>
      <c r="C24" s="0">
        <f>Input_Jalan!F24</f>
      </c>
      <c r="D24" s="0">
        <f>Input_Jalan!I24</f>
      </c>
      <c r="E24" s="0">
        <f>Input_Jalan!K24</f>
      </c>
      <c r="F24" s="0">
        <f>Input_Jalan!K24*Asumsi!$B$5*(Input_Jalan!M24+Input_Jalan!N24+Input_Jalan!O24)</f>
      </c>
      <c r="G24" s="0">
        <f>Input_Jalan!I24*Asumsi!$B$7*Asumsi!$B$8*Input_Jalan!L24</f>
      </c>
      <c r="H24" s="0">
        <f>IF(ISNUMBER(SEARCH("GRADING",Input_Jalan!H24)),Input_Jalan!K24/Analisa_Produktivitas!$E$2,0)</f>
      </c>
      <c r="I24" s="0">
        <f>IF(ISNUMBER(SEARCH("RIPPING",Input_Jalan!H24)),=Input_Jalan!K24*Asumsi!$B$5*(Input_Jalan!M24+Input_Jalan!N24+Input_Jalan!O24)/Analisa_Produktivitas!$E$3,0)+IF(ISNUMBER(SEARCH("SPREADING",Input_Jalan!H24)),=Input_Jalan!K24*Asumsi!$B$5*(Input_Jalan!M24+Input_Jalan!N24+Input_Jalan!O24)/Analisa_Produktivitas!$E$4,0)+IF(ISNUMBER(SEARCH("BASECOURSE",Input_Jalan!H24)),=Input_Jalan!K24*Asumsi!$B$5*(Input_Jalan!M24+Input_Jalan!N24+Input_Jalan!O24)/Analisa_Produktivitas!$E$8,0)</f>
      </c>
      <c r="J24" s="0">
        <f>IF(OR(ISNUMBER(SEARCH("COMPACTING",Input_Jalan!H24)),ISNUMBER(SEARCH("PEMADATAN",Input_Jalan!H24))),=Input_Jalan!K24*Asumsi!$B$5*(Input_Jalan!M24+Input_Jalan!N24+Input_Jalan!O24)/Analisa_Produktivitas!$E$5,0)</f>
      </c>
      <c r="K24" s="0">
        <f>IF(ISNUMBER(SEARCH("DRAINASE",Input_Jalan!H24)),=Input_Jalan!I24*Asumsi!$B$7*Asumsi!$B$8*Input_Jalan!L24/Analisa_Produktivitas!$E$6,0)+IF(ISNUMBER(SEARCH("TANAH DASAR",Input_Jalan!H24)),=Input_Jalan!K24*Asumsi!$B$5*(Input_Jalan!M24+Input_Jalan!N24+Input_Jalan!O24)/Analisa_Produktivitas!$E$7,0)+IF(ISNUMBER(SEARCH("PATCHING",Input_Jalan!H24)),=Input_Jalan!K24*Asumsi!$B$5*(Input_Jalan!M24+Input_Jalan!N24+Input_Jalan!O24)/Analisa_Produktivitas!$E$9,0)</f>
      </c>
      <c r="L24" s="0">
        <f>IF(OR(ISNUMBER(SEARCH("COMPACTING",Input_Jalan!H24)),ISNUMBER(SEARCH("PEMADATAN",Input_Jalan!H24))),=Input_Jalan!K24*Asumsi!$B$5*(Input_Jalan!M24+Input_Jalan!N24+Input_Jalan!O24)*Asumsi!$B$9/Asumsi!$R$35,0)</f>
      </c>
      <c r="M24" s="0">
        <f>SUM(H24:L24)</f>
      </c>
      <c r="N24" s="0">
        <f>H24*Asumsi!$S$31+I24*Asumsi!$S$32+J24*Asumsi!$S$33+K24*Asumsi!$S$34+L24*Asumsi!$S$35</f>
      </c>
      <c r="O24" s="0">
        <f>IF(ISNUMBER(SEARCH("GRADING",Input_Jalan!H24)),"GRD ","")&amp;IF(ISNUMBER(SEARCH("RIPPING",Input_Jalan!H24)),"RIP ","")&amp;IF(ISNUMBER(SEARCH("SPREADING",Input_Jalan!H24)),"SPR ","")&amp;IF(ISNUMBER(SEARCH("COMPACTING",Input_Jalan!H24)),"CMP ","")&amp;IF(ISNUMBER(SEARCH("PEMADATAN",Input_Jalan!H24)),"CMP ","")&amp;IF(ISNUMBER(SEARCH("DRAINASE",Input_Jalan!H24)),"DRN ","")&amp;IF(ISNUMBER(SEARCH("TANAH DASAR",Input_Jalan!H24)),"SUB ","")&amp;IF(ISNUMBER(SEARCH("BASECOURSE",Input_Jalan!H24)),"BSC ","")&amp;IF(ISNUMBER(SEARCH("PATCHING",Input_Jalan!H24)),"PTH ","")&amp;IF(ISNUMBER(SEARCH("SEMENISASI",Input_Jalan!H24)),"SEM ","")</f>
      </c>
      <c r="P24" s="0">
        <f>IF(I24&gt;0,"AL-DZR ","")&amp;IF(H24&gt;0,"AL-GRD ","")&amp;IF(J24&gt;0,"AL-RLR ","")&amp;IF(K24&gt;0,"AL-EXC ","")&amp;IF(L24&gt;0,"AL-WTR","")</f>
      </c>
    </row>
    <row r="25">
      <c r="A25" s="0">
        <f>Input_Jalan!A25</f>
      </c>
      <c r="B25" s="0">
        <f>Input_Jalan!B25</f>
      </c>
      <c r="C25" s="0">
        <f>Input_Jalan!F25</f>
      </c>
      <c r="D25" s="0">
        <f>Input_Jalan!I25</f>
      </c>
      <c r="E25" s="0">
        <f>Input_Jalan!K25</f>
      </c>
      <c r="F25" s="0">
        <f>Input_Jalan!K25*Asumsi!$B$5*(Input_Jalan!M25+Input_Jalan!N25+Input_Jalan!O25)</f>
      </c>
      <c r="G25" s="0">
        <f>Input_Jalan!I25*Asumsi!$B$7*Asumsi!$B$8*Input_Jalan!L25</f>
      </c>
      <c r="H25" s="0">
        <f>IF(ISNUMBER(SEARCH("GRADING",Input_Jalan!H25)),Input_Jalan!K25/Analisa_Produktivitas!$E$2,0)</f>
      </c>
      <c r="I25" s="0">
        <f>IF(ISNUMBER(SEARCH("RIPPING",Input_Jalan!H25)),=Input_Jalan!K25*Asumsi!$B$5*(Input_Jalan!M25+Input_Jalan!N25+Input_Jalan!O25)/Analisa_Produktivitas!$E$3,0)+IF(ISNUMBER(SEARCH("SPREADING",Input_Jalan!H25)),=Input_Jalan!K25*Asumsi!$B$5*(Input_Jalan!M25+Input_Jalan!N25+Input_Jalan!O25)/Analisa_Produktivitas!$E$4,0)+IF(ISNUMBER(SEARCH("BASECOURSE",Input_Jalan!H25)),=Input_Jalan!K25*Asumsi!$B$5*(Input_Jalan!M25+Input_Jalan!N25+Input_Jalan!O25)/Analisa_Produktivitas!$E$8,0)</f>
      </c>
      <c r="J25" s="0">
        <f>IF(OR(ISNUMBER(SEARCH("COMPACTING",Input_Jalan!H25)),ISNUMBER(SEARCH("PEMADATAN",Input_Jalan!H25))),=Input_Jalan!K25*Asumsi!$B$5*(Input_Jalan!M25+Input_Jalan!N25+Input_Jalan!O25)/Analisa_Produktivitas!$E$5,0)</f>
      </c>
      <c r="K25" s="0">
        <f>IF(ISNUMBER(SEARCH("DRAINASE",Input_Jalan!H25)),=Input_Jalan!I25*Asumsi!$B$7*Asumsi!$B$8*Input_Jalan!L25/Analisa_Produktivitas!$E$6,0)+IF(ISNUMBER(SEARCH("TANAH DASAR",Input_Jalan!H25)),=Input_Jalan!K25*Asumsi!$B$5*(Input_Jalan!M25+Input_Jalan!N25+Input_Jalan!O25)/Analisa_Produktivitas!$E$7,0)+IF(ISNUMBER(SEARCH("PATCHING",Input_Jalan!H25)),=Input_Jalan!K25*Asumsi!$B$5*(Input_Jalan!M25+Input_Jalan!N25+Input_Jalan!O25)/Analisa_Produktivitas!$E$9,0)</f>
      </c>
      <c r="L25" s="0">
        <f>IF(OR(ISNUMBER(SEARCH("COMPACTING",Input_Jalan!H25)),ISNUMBER(SEARCH("PEMADATAN",Input_Jalan!H25))),=Input_Jalan!K25*Asumsi!$B$5*(Input_Jalan!M25+Input_Jalan!N25+Input_Jalan!O25)*Asumsi!$B$9/Asumsi!$R$35,0)</f>
      </c>
      <c r="M25" s="0">
        <f>SUM(H25:L25)</f>
      </c>
      <c r="N25" s="0">
        <f>H25*Asumsi!$S$31+I25*Asumsi!$S$32+J25*Asumsi!$S$33+K25*Asumsi!$S$34+L25*Asumsi!$S$35</f>
      </c>
      <c r="O25" s="0">
        <f>IF(ISNUMBER(SEARCH("GRADING",Input_Jalan!H25)),"GRD ","")&amp;IF(ISNUMBER(SEARCH("RIPPING",Input_Jalan!H25)),"RIP ","")&amp;IF(ISNUMBER(SEARCH("SPREADING",Input_Jalan!H25)),"SPR ","")&amp;IF(ISNUMBER(SEARCH("COMPACTING",Input_Jalan!H25)),"CMP ","")&amp;IF(ISNUMBER(SEARCH("PEMADATAN",Input_Jalan!H25)),"CMP ","")&amp;IF(ISNUMBER(SEARCH("DRAINASE",Input_Jalan!H25)),"DRN ","")&amp;IF(ISNUMBER(SEARCH("TANAH DASAR",Input_Jalan!H25)),"SUB ","")&amp;IF(ISNUMBER(SEARCH("BASECOURSE",Input_Jalan!H25)),"BSC ","")&amp;IF(ISNUMBER(SEARCH("PATCHING",Input_Jalan!H25)),"PTH ","")&amp;IF(ISNUMBER(SEARCH("SEMENISASI",Input_Jalan!H25)),"SEM ","")</f>
      </c>
      <c r="P25" s="0">
        <f>IF(I25&gt;0,"AL-DZR ","")&amp;IF(H25&gt;0,"AL-GRD ","")&amp;IF(J25&gt;0,"AL-RLR ","")&amp;IF(K25&gt;0,"AL-EXC ","")&amp;IF(L25&gt;0,"AL-WTR","")</f>
      </c>
    </row>
    <row r="26">
      <c r="A26" s="0">
        <f>Input_Jalan!A26</f>
      </c>
      <c r="B26" s="0">
        <f>Input_Jalan!B26</f>
      </c>
      <c r="C26" s="0">
        <f>Input_Jalan!F26</f>
      </c>
      <c r="D26" s="0">
        <f>Input_Jalan!I26</f>
      </c>
      <c r="E26" s="0">
        <f>Input_Jalan!K26</f>
      </c>
      <c r="F26" s="0">
        <f>Input_Jalan!K26*Asumsi!$B$5*(Input_Jalan!M26+Input_Jalan!N26+Input_Jalan!O26)</f>
      </c>
      <c r="G26" s="0">
        <f>Input_Jalan!I26*Asumsi!$B$7*Asumsi!$B$8*Input_Jalan!L26</f>
      </c>
      <c r="H26" s="0">
        <f>IF(ISNUMBER(SEARCH("GRADING",Input_Jalan!H26)),Input_Jalan!K26/Analisa_Produktivitas!$E$2,0)</f>
      </c>
      <c r="I26" s="0">
        <f>IF(ISNUMBER(SEARCH("RIPPING",Input_Jalan!H26)),=Input_Jalan!K26*Asumsi!$B$5*(Input_Jalan!M26+Input_Jalan!N26+Input_Jalan!O26)/Analisa_Produktivitas!$E$3,0)+IF(ISNUMBER(SEARCH("SPREADING",Input_Jalan!H26)),=Input_Jalan!K26*Asumsi!$B$5*(Input_Jalan!M26+Input_Jalan!N26+Input_Jalan!O26)/Analisa_Produktivitas!$E$4,0)+IF(ISNUMBER(SEARCH("BASECOURSE",Input_Jalan!H26)),=Input_Jalan!K26*Asumsi!$B$5*(Input_Jalan!M26+Input_Jalan!N26+Input_Jalan!O26)/Analisa_Produktivitas!$E$8,0)</f>
      </c>
      <c r="J26" s="0">
        <f>IF(OR(ISNUMBER(SEARCH("COMPACTING",Input_Jalan!H26)),ISNUMBER(SEARCH("PEMADATAN",Input_Jalan!H26))),=Input_Jalan!K26*Asumsi!$B$5*(Input_Jalan!M26+Input_Jalan!N26+Input_Jalan!O26)/Analisa_Produktivitas!$E$5,0)</f>
      </c>
      <c r="K26" s="0">
        <f>IF(ISNUMBER(SEARCH("DRAINASE",Input_Jalan!H26)),=Input_Jalan!I26*Asumsi!$B$7*Asumsi!$B$8*Input_Jalan!L26/Analisa_Produktivitas!$E$6,0)+IF(ISNUMBER(SEARCH("TANAH DASAR",Input_Jalan!H26)),=Input_Jalan!K26*Asumsi!$B$5*(Input_Jalan!M26+Input_Jalan!N26+Input_Jalan!O26)/Analisa_Produktivitas!$E$7,0)+IF(ISNUMBER(SEARCH("PATCHING",Input_Jalan!H26)),=Input_Jalan!K26*Asumsi!$B$5*(Input_Jalan!M26+Input_Jalan!N26+Input_Jalan!O26)/Analisa_Produktivitas!$E$9,0)</f>
      </c>
      <c r="L26" s="0">
        <f>IF(OR(ISNUMBER(SEARCH("COMPACTING",Input_Jalan!H26)),ISNUMBER(SEARCH("PEMADATAN",Input_Jalan!H26))),=Input_Jalan!K26*Asumsi!$B$5*(Input_Jalan!M26+Input_Jalan!N26+Input_Jalan!O26)*Asumsi!$B$9/Asumsi!$R$35,0)</f>
      </c>
      <c r="M26" s="0">
        <f>SUM(H26:L26)</f>
      </c>
      <c r="N26" s="0">
        <f>H26*Asumsi!$S$31+I26*Asumsi!$S$32+J26*Asumsi!$S$33+K26*Asumsi!$S$34+L26*Asumsi!$S$35</f>
      </c>
      <c r="O26" s="0">
        <f>IF(ISNUMBER(SEARCH("GRADING",Input_Jalan!H26)),"GRD ","")&amp;IF(ISNUMBER(SEARCH("RIPPING",Input_Jalan!H26)),"RIP ","")&amp;IF(ISNUMBER(SEARCH("SPREADING",Input_Jalan!H26)),"SPR ","")&amp;IF(ISNUMBER(SEARCH("COMPACTING",Input_Jalan!H26)),"CMP ","")&amp;IF(ISNUMBER(SEARCH("PEMADATAN",Input_Jalan!H26)),"CMP ","")&amp;IF(ISNUMBER(SEARCH("DRAINASE",Input_Jalan!H26)),"DRN ","")&amp;IF(ISNUMBER(SEARCH("TANAH DASAR",Input_Jalan!H26)),"SUB ","")&amp;IF(ISNUMBER(SEARCH("BASECOURSE",Input_Jalan!H26)),"BSC ","")&amp;IF(ISNUMBER(SEARCH("PATCHING",Input_Jalan!H26)),"PTH ","")&amp;IF(ISNUMBER(SEARCH("SEMENISASI",Input_Jalan!H26)),"SEM ","")</f>
      </c>
      <c r="P26" s="0">
        <f>IF(I26&gt;0,"AL-DZR ","")&amp;IF(H26&gt;0,"AL-GRD ","")&amp;IF(J26&gt;0,"AL-RLR ","")&amp;IF(K26&gt;0,"AL-EXC ","")&amp;IF(L26&gt;0,"AL-WTR","")</f>
      </c>
    </row>
    <row r="27">
      <c r="A27" s="0">
        <f>Input_Jalan!A27</f>
      </c>
      <c r="B27" s="0">
        <f>Input_Jalan!B27</f>
      </c>
      <c r="C27" s="0">
        <f>Input_Jalan!F27</f>
      </c>
      <c r="D27" s="0">
        <f>Input_Jalan!I27</f>
      </c>
      <c r="E27" s="0">
        <f>Input_Jalan!K27</f>
      </c>
      <c r="F27" s="0">
        <f>Input_Jalan!K27*Asumsi!$B$5*(Input_Jalan!M27+Input_Jalan!N27+Input_Jalan!O27)</f>
      </c>
      <c r="G27" s="0">
        <f>Input_Jalan!I27*Asumsi!$B$7*Asumsi!$B$8*Input_Jalan!L27</f>
      </c>
      <c r="H27" s="0">
        <f>IF(ISNUMBER(SEARCH("GRADING",Input_Jalan!H27)),Input_Jalan!K27/Analisa_Produktivitas!$E$2,0)</f>
      </c>
      <c r="I27" s="0">
        <f>IF(ISNUMBER(SEARCH("RIPPING",Input_Jalan!H27)),=Input_Jalan!K27*Asumsi!$B$5*(Input_Jalan!M27+Input_Jalan!N27+Input_Jalan!O27)/Analisa_Produktivitas!$E$3,0)+IF(ISNUMBER(SEARCH("SPREADING",Input_Jalan!H27)),=Input_Jalan!K27*Asumsi!$B$5*(Input_Jalan!M27+Input_Jalan!N27+Input_Jalan!O27)/Analisa_Produktivitas!$E$4,0)+IF(ISNUMBER(SEARCH("BASECOURSE",Input_Jalan!H27)),=Input_Jalan!K27*Asumsi!$B$5*(Input_Jalan!M27+Input_Jalan!N27+Input_Jalan!O27)/Analisa_Produktivitas!$E$8,0)</f>
      </c>
      <c r="J27" s="0">
        <f>IF(OR(ISNUMBER(SEARCH("COMPACTING",Input_Jalan!H27)),ISNUMBER(SEARCH("PEMADATAN",Input_Jalan!H27))),=Input_Jalan!K27*Asumsi!$B$5*(Input_Jalan!M27+Input_Jalan!N27+Input_Jalan!O27)/Analisa_Produktivitas!$E$5,0)</f>
      </c>
      <c r="K27" s="0">
        <f>IF(ISNUMBER(SEARCH("DRAINASE",Input_Jalan!H27)),=Input_Jalan!I27*Asumsi!$B$7*Asumsi!$B$8*Input_Jalan!L27/Analisa_Produktivitas!$E$6,0)+IF(ISNUMBER(SEARCH("TANAH DASAR",Input_Jalan!H27)),=Input_Jalan!K27*Asumsi!$B$5*(Input_Jalan!M27+Input_Jalan!N27+Input_Jalan!O27)/Analisa_Produktivitas!$E$7,0)+IF(ISNUMBER(SEARCH("PATCHING",Input_Jalan!H27)),=Input_Jalan!K27*Asumsi!$B$5*(Input_Jalan!M27+Input_Jalan!N27+Input_Jalan!O27)/Analisa_Produktivitas!$E$9,0)</f>
      </c>
      <c r="L27" s="0">
        <f>IF(OR(ISNUMBER(SEARCH("COMPACTING",Input_Jalan!H27)),ISNUMBER(SEARCH("PEMADATAN",Input_Jalan!H27))),=Input_Jalan!K27*Asumsi!$B$5*(Input_Jalan!M27+Input_Jalan!N27+Input_Jalan!O27)*Asumsi!$B$9/Asumsi!$R$35,0)</f>
      </c>
      <c r="M27" s="0">
        <f>SUM(H27:L27)</f>
      </c>
      <c r="N27" s="0">
        <f>H27*Asumsi!$S$31+I27*Asumsi!$S$32+J27*Asumsi!$S$33+K27*Asumsi!$S$34+L27*Asumsi!$S$35</f>
      </c>
      <c r="O27" s="0">
        <f>IF(ISNUMBER(SEARCH("GRADING",Input_Jalan!H27)),"GRD ","")&amp;IF(ISNUMBER(SEARCH("RIPPING",Input_Jalan!H27)),"RIP ","")&amp;IF(ISNUMBER(SEARCH("SPREADING",Input_Jalan!H27)),"SPR ","")&amp;IF(ISNUMBER(SEARCH("COMPACTING",Input_Jalan!H27)),"CMP ","")&amp;IF(ISNUMBER(SEARCH("PEMADATAN",Input_Jalan!H27)),"CMP ","")&amp;IF(ISNUMBER(SEARCH("DRAINASE",Input_Jalan!H27)),"DRN ","")&amp;IF(ISNUMBER(SEARCH("TANAH DASAR",Input_Jalan!H27)),"SUB ","")&amp;IF(ISNUMBER(SEARCH("BASECOURSE",Input_Jalan!H27)),"BSC ","")&amp;IF(ISNUMBER(SEARCH("PATCHING",Input_Jalan!H27)),"PTH ","")&amp;IF(ISNUMBER(SEARCH("SEMENISASI",Input_Jalan!H27)),"SEM ","")</f>
      </c>
      <c r="P27" s="0">
        <f>IF(I27&gt;0,"AL-DZR ","")&amp;IF(H27&gt;0,"AL-GRD ","")&amp;IF(J27&gt;0,"AL-RLR ","")&amp;IF(K27&gt;0,"AL-EXC ","")&amp;IF(L27&gt;0,"AL-WTR","")</f>
      </c>
    </row>
    <row r="28">
      <c r="A28" s="0">
        <f>Input_Jalan!A28</f>
      </c>
      <c r="B28" s="0">
        <f>Input_Jalan!B28</f>
      </c>
      <c r="C28" s="0">
        <f>Input_Jalan!F28</f>
      </c>
      <c r="D28" s="0">
        <f>Input_Jalan!I28</f>
      </c>
      <c r="E28" s="0">
        <f>Input_Jalan!K28</f>
      </c>
      <c r="F28" s="0">
        <f>Input_Jalan!K28*Asumsi!$B$5*(Input_Jalan!M28+Input_Jalan!N28+Input_Jalan!O28)</f>
      </c>
      <c r="G28" s="0">
        <f>Input_Jalan!I28*Asumsi!$B$7*Asumsi!$B$8*Input_Jalan!L28</f>
      </c>
      <c r="H28" s="0">
        <f>IF(ISNUMBER(SEARCH("GRADING",Input_Jalan!H28)),Input_Jalan!K28/Analisa_Produktivitas!$E$2,0)</f>
      </c>
      <c r="I28" s="0">
        <f>IF(ISNUMBER(SEARCH("RIPPING",Input_Jalan!H28)),=Input_Jalan!K28*Asumsi!$B$5*(Input_Jalan!M28+Input_Jalan!N28+Input_Jalan!O28)/Analisa_Produktivitas!$E$3,0)+IF(ISNUMBER(SEARCH("SPREADING",Input_Jalan!H28)),=Input_Jalan!K28*Asumsi!$B$5*(Input_Jalan!M28+Input_Jalan!N28+Input_Jalan!O28)/Analisa_Produktivitas!$E$4,0)+IF(ISNUMBER(SEARCH("BASECOURSE",Input_Jalan!H28)),=Input_Jalan!K28*Asumsi!$B$5*(Input_Jalan!M28+Input_Jalan!N28+Input_Jalan!O28)/Analisa_Produktivitas!$E$8,0)</f>
      </c>
      <c r="J28" s="0">
        <f>IF(OR(ISNUMBER(SEARCH("COMPACTING",Input_Jalan!H28)),ISNUMBER(SEARCH("PEMADATAN",Input_Jalan!H28))),=Input_Jalan!K28*Asumsi!$B$5*(Input_Jalan!M28+Input_Jalan!N28+Input_Jalan!O28)/Analisa_Produktivitas!$E$5,0)</f>
      </c>
      <c r="K28" s="0">
        <f>IF(ISNUMBER(SEARCH("DRAINASE",Input_Jalan!H28)),=Input_Jalan!I28*Asumsi!$B$7*Asumsi!$B$8*Input_Jalan!L28/Analisa_Produktivitas!$E$6,0)+IF(ISNUMBER(SEARCH("TANAH DASAR",Input_Jalan!H28)),=Input_Jalan!K28*Asumsi!$B$5*(Input_Jalan!M28+Input_Jalan!N28+Input_Jalan!O28)/Analisa_Produktivitas!$E$7,0)+IF(ISNUMBER(SEARCH("PATCHING",Input_Jalan!H28)),=Input_Jalan!K28*Asumsi!$B$5*(Input_Jalan!M28+Input_Jalan!N28+Input_Jalan!O28)/Analisa_Produktivitas!$E$9,0)</f>
      </c>
      <c r="L28" s="0">
        <f>IF(OR(ISNUMBER(SEARCH("COMPACTING",Input_Jalan!H28)),ISNUMBER(SEARCH("PEMADATAN",Input_Jalan!H28))),=Input_Jalan!K28*Asumsi!$B$5*(Input_Jalan!M28+Input_Jalan!N28+Input_Jalan!O28)*Asumsi!$B$9/Asumsi!$R$35,0)</f>
      </c>
      <c r="M28" s="0">
        <f>SUM(H28:L28)</f>
      </c>
      <c r="N28" s="0">
        <f>H28*Asumsi!$S$31+I28*Asumsi!$S$32+J28*Asumsi!$S$33+K28*Asumsi!$S$34+L28*Asumsi!$S$35</f>
      </c>
      <c r="O28" s="0">
        <f>IF(ISNUMBER(SEARCH("GRADING",Input_Jalan!H28)),"GRD ","")&amp;IF(ISNUMBER(SEARCH("RIPPING",Input_Jalan!H28)),"RIP ","")&amp;IF(ISNUMBER(SEARCH("SPREADING",Input_Jalan!H28)),"SPR ","")&amp;IF(ISNUMBER(SEARCH("COMPACTING",Input_Jalan!H28)),"CMP ","")&amp;IF(ISNUMBER(SEARCH("PEMADATAN",Input_Jalan!H28)),"CMP ","")&amp;IF(ISNUMBER(SEARCH("DRAINASE",Input_Jalan!H28)),"DRN ","")&amp;IF(ISNUMBER(SEARCH("TANAH DASAR",Input_Jalan!H28)),"SUB ","")&amp;IF(ISNUMBER(SEARCH("BASECOURSE",Input_Jalan!H28)),"BSC ","")&amp;IF(ISNUMBER(SEARCH("PATCHING",Input_Jalan!H28)),"PTH ","")&amp;IF(ISNUMBER(SEARCH("SEMENISASI",Input_Jalan!H28)),"SEM ","")</f>
      </c>
      <c r="P28" s="0">
        <f>IF(I28&gt;0,"AL-DZR ","")&amp;IF(H28&gt;0,"AL-GRD ","")&amp;IF(J28&gt;0,"AL-RLR ","")&amp;IF(K28&gt;0,"AL-EXC ","")&amp;IF(L28&gt;0,"AL-WTR","")</f>
      </c>
    </row>
    <row r="29">
      <c r="A29" s="0">
        <f>Input_Jalan!A29</f>
      </c>
      <c r="B29" s="0">
        <f>Input_Jalan!B29</f>
      </c>
      <c r="C29" s="0">
        <f>Input_Jalan!F29</f>
      </c>
      <c r="D29" s="0">
        <f>Input_Jalan!I29</f>
      </c>
      <c r="E29" s="0">
        <f>Input_Jalan!K29</f>
      </c>
      <c r="F29" s="0">
        <f>Input_Jalan!K29*Asumsi!$B$5*(Input_Jalan!M29+Input_Jalan!N29+Input_Jalan!O29)</f>
      </c>
      <c r="G29" s="0">
        <f>Input_Jalan!I29*Asumsi!$B$7*Asumsi!$B$8*Input_Jalan!L29</f>
      </c>
      <c r="H29" s="0">
        <f>IF(ISNUMBER(SEARCH("GRADING",Input_Jalan!H29)),Input_Jalan!K29/Analisa_Produktivitas!$E$2,0)</f>
      </c>
      <c r="I29" s="0">
        <f>IF(ISNUMBER(SEARCH("RIPPING",Input_Jalan!H29)),=Input_Jalan!K29*Asumsi!$B$5*(Input_Jalan!M29+Input_Jalan!N29+Input_Jalan!O29)/Analisa_Produktivitas!$E$3,0)+IF(ISNUMBER(SEARCH("SPREADING",Input_Jalan!H29)),=Input_Jalan!K29*Asumsi!$B$5*(Input_Jalan!M29+Input_Jalan!N29+Input_Jalan!O29)/Analisa_Produktivitas!$E$4,0)+IF(ISNUMBER(SEARCH("BASECOURSE",Input_Jalan!H29)),=Input_Jalan!K29*Asumsi!$B$5*(Input_Jalan!M29+Input_Jalan!N29+Input_Jalan!O29)/Analisa_Produktivitas!$E$8,0)</f>
      </c>
      <c r="J29" s="0">
        <f>IF(OR(ISNUMBER(SEARCH("COMPACTING",Input_Jalan!H29)),ISNUMBER(SEARCH("PEMADATAN",Input_Jalan!H29))),=Input_Jalan!K29*Asumsi!$B$5*(Input_Jalan!M29+Input_Jalan!N29+Input_Jalan!O29)/Analisa_Produktivitas!$E$5,0)</f>
      </c>
      <c r="K29" s="0">
        <f>IF(ISNUMBER(SEARCH("DRAINASE",Input_Jalan!H29)),=Input_Jalan!I29*Asumsi!$B$7*Asumsi!$B$8*Input_Jalan!L29/Analisa_Produktivitas!$E$6,0)+IF(ISNUMBER(SEARCH("TANAH DASAR",Input_Jalan!H29)),=Input_Jalan!K29*Asumsi!$B$5*(Input_Jalan!M29+Input_Jalan!N29+Input_Jalan!O29)/Analisa_Produktivitas!$E$7,0)+IF(ISNUMBER(SEARCH("PATCHING",Input_Jalan!H29)),=Input_Jalan!K29*Asumsi!$B$5*(Input_Jalan!M29+Input_Jalan!N29+Input_Jalan!O29)/Analisa_Produktivitas!$E$9,0)</f>
      </c>
      <c r="L29" s="0">
        <f>IF(OR(ISNUMBER(SEARCH("COMPACTING",Input_Jalan!H29)),ISNUMBER(SEARCH("PEMADATAN",Input_Jalan!H29))),=Input_Jalan!K29*Asumsi!$B$5*(Input_Jalan!M29+Input_Jalan!N29+Input_Jalan!O29)*Asumsi!$B$9/Asumsi!$R$35,0)</f>
      </c>
      <c r="M29" s="0">
        <f>SUM(H29:L29)</f>
      </c>
      <c r="N29" s="0">
        <f>H29*Asumsi!$S$31+I29*Asumsi!$S$32+J29*Asumsi!$S$33+K29*Asumsi!$S$34+L29*Asumsi!$S$35</f>
      </c>
      <c r="O29" s="0">
        <f>IF(ISNUMBER(SEARCH("GRADING",Input_Jalan!H29)),"GRD ","")&amp;IF(ISNUMBER(SEARCH("RIPPING",Input_Jalan!H29)),"RIP ","")&amp;IF(ISNUMBER(SEARCH("SPREADING",Input_Jalan!H29)),"SPR ","")&amp;IF(ISNUMBER(SEARCH("COMPACTING",Input_Jalan!H29)),"CMP ","")&amp;IF(ISNUMBER(SEARCH("PEMADATAN",Input_Jalan!H29)),"CMP ","")&amp;IF(ISNUMBER(SEARCH("DRAINASE",Input_Jalan!H29)),"DRN ","")&amp;IF(ISNUMBER(SEARCH("TANAH DASAR",Input_Jalan!H29)),"SUB ","")&amp;IF(ISNUMBER(SEARCH("BASECOURSE",Input_Jalan!H29)),"BSC ","")&amp;IF(ISNUMBER(SEARCH("PATCHING",Input_Jalan!H29)),"PTH ","")&amp;IF(ISNUMBER(SEARCH("SEMENISASI",Input_Jalan!H29)),"SEM ","")</f>
      </c>
      <c r="P29" s="0">
        <f>IF(I29&gt;0,"AL-DZR ","")&amp;IF(H29&gt;0,"AL-GRD ","")&amp;IF(J29&gt;0,"AL-RLR ","")&amp;IF(K29&gt;0,"AL-EXC ","")&amp;IF(L29&gt;0,"AL-WTR","")</f>
      </c>
    </row>
    <row r="30">
      <c r="A30" s="0">
        <f>Input_Jalan!A30</f>
      </c>
      <c r="B30" s="0">
        <f>Input_Jalan!B30</f>
      </c>
      <c r="C30" s="0">
        <f>Input_Jalan!F30</f>
      </c>
      <c r="D30" s="0">
        <f>Input_Jalan!I30</f>
      </c>
      <c r="E30" s="0">
        <f>Input_Jalan!K30</f>
      </c>
      <c r="F30" s="0">
        <f>Input_Jalan!K30*Asumsi!$B$5*(Input_Jalan!M30+Input_Jalan!N30+Input_Jalan!O30)</f>
      </c>
      <c r="G30" s="0">
        <f>Input_Jalan!I30*Asumsi!$B$7*Asumsi!$B$8*Input_Jalan!L30</f>
      </c>
      <c r="H30" s="0">
        <f>IF(ISNUMBER(SEARCH("GRADING",Input_Jalan!H30)),Input_Jalan!K30/Analisa_Produktivitas!$E$2,0)</f>
      </c>
      <c r="I30" s="0">
        <f>IF(ISNUMBER(SEARCH("RIPPING",Input_Jalan!H30)),=Input_Jalan!K30*Asumsi!$B$5*(Input_Jalan!M30+Input_Jalan!N30+Input_Jalan!O30)/Analisa_Produktivitas!$E$3,0)+IF(ISNUMBER(SEARCH("SPREADING",Input_Jalan!H30)),=Input_Jalan!K30*Asumsi!$B$5*(Input_Jalan!M30+Input_Jalan!N30+Input_Jalan!O30)/Analisa_Produktivitas!$E$4,0)+IF(ISNUMBER(SEARCH("BASECOURSE",Input_Jalan!H30)),=Input_Jalan!K30*Asumsi!$B$5*(Input_Jalan!M30+Input_Jalan!N30+Input_Jalan!O30)/Analisa_Produktivitas!$E$8,0)</f>
      </c>
      <c r="J30" s="0">
        <f>IF(OR(ISNUMBER(SEARCH("COMPACTING",Input_Jalan!H30)),ISNUMBER(SEARCH("PEMADATAN",Input_Jalan!H30))),=Input_Jalan!K30*Asumsi!$B$5*(Input_Jalan!M30+Input_Jalan!N30+Input_Jalan!O30)/Analisa_Produktivitas!$E$5,0)</f>
      </c>
      <c r="K30" s="0">
        <f>IF(ISNUMBER(SEARCH("DRAINASE",Input_Jalan!H30)),=Input_Jalan!I30*Asumsi!$B$7*Asumsi!$B$8*Input_Jalan!L30/Analisa_Produktivitas!$E$6,0)+IF(ISNUMBER(SEARCH("TANAH DASAR",Input_Jalan!H30)),=Input_Jalan!K30*Asumsi!$B$5*(Input_Jalan!M30+Input_Jalan!N30+Input_Jalan!O30)/Analisa_Produktivitas!$E$7,0)+IF(ISNUMBER(SEARCH("PATCHING",Input_Jalan!H30)),=Input_Jalan!K30*Asumsi!$B$5*(Input_Jalan!M30+Input_Jalan!N30+Input_Jalan!O30)/Analisa_Produktivitas!$E$9,0)</f>
      </c>
      <c r="L30" s="0">
        <f>IF(OR(ISNUMBER(SEARCH("COMPACTING",Input_Jalan!H30)),ISNUMBER(SEARCH("PEMADATAN",Input_Jalan!H30))),=Input_Jalan!K30*Asumsi!$B$5*(Input_Jalan!M30+Input_Jalan!N30+Input_Jalan!O30)*Asumsi!$B$9/Asumsi!$R$35,0)</f>
      </c>
      <c r="M30" s="0">
        <f>SUM(H30:L30)</f>
      </c>
      <c r="N30" s="0">
        <f>H30*Asumsi!$S$31+I30*Asumsi!$S$32+J30*Asumsi!$S$33+K30*Asumsi!$S$34+L30*Asumsi!$S$35</f>
      </c>
      <c r="O30" s="0">
        <f>IF(ISNUMBER(SEARCH("GRADING",Input_Jalan!H30)),"GRD ","")&amp;IF(ISNUMBER(SEARCH("RIPPING",Input_Jalan!H30)),"RIP ","")&amp;IF(ISNUMBER(SEARCH("SPREADING",Input_Jalan!H30)),"SPR ","")&amp;IF(ISNUMBER(SEARCH("COMPACTING",Input_Jalan!H30)),"CMP ","")&amp;IF(ISNUMBER(SEARCH("PEMADATAN",Input_Jalan!H30)),"CMP ","")&amp;IF(ISNUMBER(SEARCH("DRAINASE",Input_Jalan!H30)),"DRN ","")&amp;IF(ISNUMBER(SEARCH("TANAH DASAR",Input_Jalan!H30)),"SUB ","")&amp;IF(ISNUMBER(SEARCH("BASECOURSE",Input_Jalan!H30)),"BSC ","")&amp;IF(ISNUMBER(SEARCH("PATCHING",Input_Jalan!H30)),"PTH ","")&amp;IF(ISNUMBER(SEARCH("SEMENISASI",Input_Jalan!H30)),"SEM ","")</f>
      </c>
      <c r="P30" s="0">
        <f>IF(I30&gt;0,"AL-DZR ","")&amp;IF(H30&gt;0,"AL-GRD ","")&amp;IF(J30&gt;0,"AL-RLR ","")&amp;IF(K30&gt;0,"AL-EXC ","")&amp;IF(L30&gt;0,"AL-WTR","")</f>
      </c>
    </row>
    <row r="31">
      <c r="A31" s="0">
        <f>Input_Jalan!A31</f>
      </c>
      <c r="B31" s="0">
        <f>Input_Jalan!B31</f>
      </c>
      <c r="C31" s="0">
        <f>Input_Jalan!F31</f>
      </c>
      <c r="D31" s="0">
        <f>Input_Jalan!I31</f>
      </c>
      <c r="E31" s="0">
        <f>Input_Jalan!K31</f>
      </c>
      <c r="F31" s="0">
        <f>Input_Jalan!K31*Asumsi!$B$5*(Input_Jalan!M31+Input_Jalan!N31+Input_Jalan!O31)</f>
      </c>
      <c r="G31" s="0">
        <f>Input_Jalan!I31*Asumsi!$B$7*Asumsi!$B$8*Input_Jalan!L31</f>
      </c>
      <c r="H31" s="0">
        <f>IF(ISNUMBER(SEARCH("GRADING",Input_Jalan!H31)),Input_Jalan!K31/Analisa_Produktivitas!$E$2,0)</f>
      </c>
      <c r="I31" s="0">
        <f>IF(ISNUMBER(SEARCH("RIPPING",Input_Jalan!H31)),=Input_Jalan!K31*Asumsi!$B$5*(Input_Jalan!M31+Input_Jalan!N31+Input_Jalan!O31)/Analisa_Produktivitas!$E$3,0)+IF(ISNUMBER(SEARCH("SPREADING",Input_Jalan!H31)),=Input_Jalan!K31*Asumsi!$B$5*(Input_Jalan!M31+Input_Jalan!N31+Input_Jalan!O31)/Analisa_Produktivitas!$E$4,0)+IF(ISNUMBER(SEARCH("BASECOURSE",Input_Jalan!H31)),=Input_Jalan!K31*Asumsi!$B$5*(Input_Jalan!M31+Input_Jalan!N31+Input_Jalan!O31)/Analisa_Produktivitas!$E$8,0)</f>
      </c>
      <c r="J31" s="0">
        <f>IF(OR(ISNUMBER(SEARCH("COMPACTING",Input_Jalan!H31)),ISNUMBER(SEARCH("PEMADATAN",Input_Jalan!H31))),=Input_Jalan!K31*Asumsi!$B$5*(Input_Jalan!M31+Input_Jalan!N31+Input_Jalan!O31)/Analisa_Produktivitas!$E$5,0)</f>
      </c>
      <c r="K31" s="0">
        <f>IF(ISNUMBER(SEARCH("DRAINASE",Input_Jalan!H31)),=Input_Jalan!I31*Asumsi!$B$7*Asumsi!$B$8*Input_Jalan!L31/Analisa_Produktivitas!$E$6,0)+IF(ISNUMBER(SEARCH("TANAH DASAR",Input_Jalan!H31)),=Input_Jalan!K31*Asumsi!$B$5*(Input_Jalan!M31+Input_Jalan!N31+Input_Jalan!O31)/Analisa_Produktivitas!$E$7,0)+IF(ISNUMBER(SEARCH("PATCHING",Input_Jalan!H31)),=Input_Jalan!K31*Asumsi!$B$5*(Input_Jalan!M31+Input_Jalan!N31+Input_Jalan!O31)/Analisa_Produktivitas!$E$9,0)</f>
      </c>
      <c r="L31" s="0">
        <f>IF(OR(ISNUMBER(SEARCH("COMPACTING",Input_Jalan!H31)),ISNUMBER(SEARCH("PEMADATAN",Input_Jalan!H31))),=Input_Jalan!K31*Asumsi!$B$5*(Input_Jalan!M31+Input_Jalan!N31+Input_Jalan!O31)*Asumsi!$B$9/Asumsi!$R$35,0)</f>
      </c>
      <c r="M31" s="0">
        <f>SUM(H31:L31)</f>
      </c>
      <c r="N31" s="0">
        <f>H31*Asumsi!$S$31+I31*Asumsi!$S$32+J31*Asumsi!$S$33+K31*Asumsi!$S$34+L31*Asumsi!$S$35</f>
      </c>
      <c r="O31" s="0">
        <f>IF(ISNUMBER(SEARCH("GRADING",Input_Jalan!H31)),"GRD ","")&amp;IF(ISNUMBER(SEARCH("RIPPING",Input_Jalan!H31)),"RIP ","")&amp;IF(ISNUMBER(SEARCH("SPREADING",Input_Jalan!H31)),"SPR ","")&amp;IF(ISNUMBER(SEARCH("COMPACTING",Input_Jalan!H31)),"CMP ","")&amp;IF(ISNUMBER(SEARCH("PEMADATAN",Input_Jalan!H31)),"CMP ","")&amp;IF(ISNUMBER(SEARCH("DRAINASE",Input_Jalan!H31)),"DRN ","")&amp;IF(ISNUMBER(SEARCH("TANAH DASAR",Input_Jalan!H31)),"SUB ","")&amp;IF(ISNUMBER(SEARCH("BASECOURSE",Input_Jalan!H31)),"BSC ","")&amp;IF(ISNUMBER(SEARCH("PATCHING",Input_Jalan!H31)),"PTH ","")&amp;IF(ISNUMBER(SEARCH("SEMENISASI",Input_Jalan!H31)),"SEM ","")</f>
      </c>
      <c r="P31" s="0">
        <f>IF(I31&gt;0,"AL-DZR ","")&amp;IF(H31&gt;0,"AL-GRD ","")&amp;IF(J31&gt;0,"AL-RLR ","")&amp;IF(K31&gt;0,"AL-EXC ","")&amp;IF(L31&gt;0,"AL-WTR","")</f>
      </c>
    </row>
    <row r="32">
      <c r="A32" s="0">
        <f>Input_Jalan!A32</f>
      </c>
      <c r="B32" s="0">
        <f>Input_Jalan!B32</f>
      </c>
      <c r="C32" s="0">
        <f>Input_Jalan!F32</f>
      </c>
      <c r="D32" s="0">
        <f>Input_Jalan!I32</f>
      </c>
      <c r="E32" s="0">
        <f>Input_Jalan!K32</f>
      </c>
      <c r="F32" s="0">
        <f>Input_Jalan!K32*Asumsi!$B$5*(Input_Jalan!M32+Input_Jalan!N32+Input_Jalan!O32)</f>
      </c>
      <c r="G32" s="0">
        <f>Input_Jalan!I32*Asumsi!$B$7*Asumsi!$B$8*Input_Jalan!L32</f>
      </c>
      <c r="H32" s="0">
        <f>IF(ISNUMBER(SEARCH("GRADING",Input_Jalan!H32)),Input_Jalan!K32/Analisa_Produktivitas!$E$2,0)</f>
      </c>
      <c r="I32" s="0">
        <f>IF(ISNUMBER(SEARCH("RIPPING",Input_Jalan!H32)),=Input_Jalan!K32*Asumsi!$B$5*(Input_Jalan!M32+Input_Jalan!N32+Input_Jalan!O32)/Analisa_Produktivitas!$E$3,0)+IF(ISNUMBER(SEARCH("SPREADING",Input_Jalan!H32)),=Input_Jalan!K32*Asumsi!$B$5*(Input_Jalan!M32+Input_Jalan!N32+Input_Jalan!O32)/Analisa_Produktivitas!$E$4,0)+IF(ISNUMBER(SEARCH("BASECOURSE",Input_Jalan!H32)),=Input_Jalan!K32*Asumsi!$B$5*(Input_Jalan!M32+Input_Jalan!N32+Input_Jalan!O32)/Analisa_Produktivitas!$E$8,0)</f>
      </c>
      <c r="J32" s="0">
        <f>IF(OR(ISNUMBER(SEARCH("COMPACTING",Input_Jalan!H32)),ISNUMBER(SEARCH("PEMADATAN",Input_Jalan!H32))),=Input_Jalan!K32*Asumsi!$B$5*(Input_Jalan!M32+Input_Jalan!N32+Input_Jalan!O32)/Analisa_Produktivitas!$E$5,0)</f>
      </c>
      <c r="K32" s="0">
        <f>IF(ISNUMBER(SEARCH("DRAINASE",Input_Jalan!H32)),=Input_Jalan!I32*Asumsi!$B$7*Asumsi!$B$8*Input_Jalan!L32/Analisa_Produktivitas!$E$6,0)+IF(ISNUMBER(SEARCH("TANAH DASAR",Input_Jalan!H32)),=Input_Jalan!K32*Asumsi!$B$5*(Input_Jalan!M32+Input_Jalan!N32+Input_Jalan!O32)/Analisa_Produktivitas!$E$7,0)+IF(ISNUMBER(SEARCH("PATCHING",Input_Jalan!H32)),=Input_Jalan!K32*Asumsi!$B$5*(Input_Jalan!M32+Input_Jalan!N32+Input_Jalan!O32)/Analisa_Produktivitas!$E$9,0)</f>
      </c>
      <c r="L32" s="0">
        <f>IF(OR(ISNUMBER(SEARCH("COMPACTING",Input_Jalan!H32)),ISNUMBER(SEARCH("PEMADATAN",Input_Jalan!H32))),=Input_Jalan!K32*Asumsi!$B$5*(Input_Jalan!M32+Input_Jalan!N32+Input_Jalan!O32)*Asumsi!$B$9/Asumsi!$R$35,0)</f>
      </c>
      <c r="M32" s="0">
        <f>SUM(H32:L32)</f>
      </c>
      <c r="N32" s="0">
        <f>H32*Asumsi!$S$31+I32*Asumsi!$S$32+J32*Asumsi!$S$33+K32*Asumsi!$S$34+L32*Asumsi!$S$35</f>
      </c>
      <c r="O32" s="0">
        <f>IF(ISNUMBER(SEARCH("GRADING",Input_Jalan!H32)),"GRD ","")&amp;IF(ISNUMBER(SEARCH("RIPPING",Input_Jalan!H32)),"RIP ","")&amp;IF(ISNUMBER(SEARCH("SPREADING",Input_Jalan!H32)),"SPR ","")&amp;IF(ISNUMBER(SEARCH("COMPACTING",Input_Jalan!H32)),"CMP ","")&amp;IF(ISNUMBER(SEARCH("PEMADATAN",Input_Jalan!H32)),"CMP ","")&amp;IF(ISNUMBER(SEARCH("DRAINASE",Input_Jalan!H32)),"DRN ","")&amp;IF(ISNUMBER(SEARCH("TANAH DASAR",Input_Jalan!H32)),"SUB ","")&amp;IF(ISNUMBER(SEARCH("BASECOURSE",Input_Jalan!H32)),"BSC ","")&amp;IF(ISNUMBER(SEARCH("PATCHING",Input_Jalan!H32)),"PTH ","")&amp;IF(ISNUMBER(SEARCH("SEMENISASI",Input_Jalan!H32)),"SEM ","")</f>
      </c>
      <c r="P32" s="0">
        <f>IF(I32&gt;0,"AL-DZR ","")&amp;IF(H32&gt;0,"AL-GRD ","")&amp;IF(J32&gt;0,"AL-RLR ","")&amp;IF(K32&gt;0,"AL-EXC ","")&amp;IF(L32&gt;0,"AL-WTR","")</f>
      </c>
    </row>
    <row r="33">
      <c r="A33" s="0">
        <f>Input_Jalan!A33</f>
      </c>
      <c r="B33" s="0">
        <f>Input_Jalan!B33</f>
      </c>
      <c r="C33" s="0">
        <f>Input_Jalan!F33</f>
      </c>
      <c r="D33" s="0">
        <f>Input_Jalan!I33</f>
      </c>
      <c r="E33" s="0">
        <f>Input_Jalan!K33</f>
      </c>
      <c r="F33" s="0">
        <f>Input_Jalan!K33*Asumsi!$B$5*(Input_Jalan!M33+Input_Jalan!N33+Input_Jalan!O33)</f>
      </c>
      <c r="G33" s="0">
        <f>Input_Jalan!I33*Asumsi!$B$7*Asumsi!$B$8*Input_Jalan!L33</f>
      </c>
      <c r="H33" s="0">
        <f>IF(ISNUMBER(SEARCH("GRADING",Input_Jalan!H33)),Input_Jalan!K33/Analisa_Produktivitas!$E$2,0)</f>
      </c>
      <c r="I33" s="0">
        <f>IF(ISNUMBER(SEARCH("RIPPING",Input_Jalan!H33)),=Input_Jalan!K33*Asumsi!$B$5*(Input_Jalan!M33+Input_Jalan!N33+Input_Jalan!O33)/Analisa_Produktivitas!$E$3,0)+IF(ISNUMBER(SEARCH("SPREADING",Input_Jalan!H33)),=Input_Jalan!K33*Asumsi!$B$5*(Input_Jalan!M33+Input_Jalan!N33+Input_Jalan!O33)/Analisa_Produktivitas!$E$4,0)+IF(ISNUMBER(SEARCH("BASECOURSE",Input_Jalan!H33)),=Input_Jalan!K33*Asumsi!$B$5*(Input_Jalan!M33+Input_Jalan!N33+Input_Jalan!O33)/Analisa_Produktivitas!$E$8,0)</f>
      </c>
      <c r="J33" s="0">
        <f>IF(OR(ISNUMBER(SEARCH("COMPACTING",Input_Jalan!H33)),ISNUMBER(SEARCH("PEMADATAN",Input_Jalan!H33))),=Input_Jalan!K33*Asumsi!$B$5*(Input_Jalan!M33+Input_Jalan!N33+Input_Jalan!O33)/Analisa_Produktivitas!$E$5,0)</f>
      </c>
      <c r="K33" s="0">
        <f>IF(ISNUMBER(SEARCH("DRAINASE",Input_Jalan!H33)),=Input_Jalan!I33*Asumsi!$B$7*Asumsi!$B$8*Input_Jalan!L33/Analisa_Produktivitas!$E$6,0)+IF(ISNUMBER(SEARCH("TANAH DASAR",Input_Jalan!H33)),=Input_Jalan!K33*Asumsi!$B$5*(Input_Jalan!M33+Input_Jalan!N33+Input_Jalan!O33)/Analisa_Produktivitas!$E$7,0)+IF(ISNUMBER(SEARCH("PATCHING",Input_Jalan!H33)),=Input_Jalan!K33*Asumsi!$B$5*(Input_Jalan!M33+Input_Jalan!N33+Input_Jalan!O33)/Analisa_Produktivitas!$E$9,0)</f>
      </c>
      <c r="L33" s="0">
        <f>IF(OR(ISNUMBER(SEARCH("COMPACTING",Input_Jalan!H33)),ISNUMBER(SEARCH("PEMADATAN",Input_Jalan!H33))),=Input_Jalan!K33*Asumsi!$B$5*(Input_Jalan!M33+Input_Jalan!N33+Input_Jalan!O33)*Asumsi!$B$9/Asumsi!$R$35,0)</f>
      </c>
      <c r="M33" s="0">
        <f>SUM(H33:L33)</f>
      </c>
      <c r="N33" s="0">
        <f>H33*Asumsi!$S$31+I33*Asumsi!$S$32+J33*Asumsi!$S$33+K33*Asumsi!$S$34+L33*Asumsi!$S$35</f>
      </c>
      <c r="O33" s="0">
        <f>IF(ISNUMBER(SEARCH("GRADING",Input_Jalan!H33)),"GRD ","")&amp;IF(ISNUMBER(SEARCH("RIPPING",Input_Jalan!H33)),"RIP ","")&amp;IF(ISNUMBER(SEARCH("SPREADING",Input_Jalan!H33)),"SPR ","")&amp;IF(ISNUMBER(SEARCH("COMPACTING",Input_Jalan!H33)),"CMP ","")&amp;IF(ISNUMBER(SEARCH("PEMADATAN",Input_Jalan!H33)),"CMP ","")&amp;IF(ISNUMBER(SEARCH("DRAINASE",Input_Jalan!H33)),"DRN ","")&amp;IF(ISNUMBER(SEARCH("TANAH DASAR",Input_Jalan!H33)),"SUB ","")&amp;IF(ISNUMBER(SEARCH("BASECOURSE",Input_Jalan!H33)),"BSC ","")&amp;IF(ISNUMBER(SEARCH("PATCHING",Input_Jalan!H33)),"PTH ","")&amp;IF(ISNUMBER(SEARCH("SEMENISASI",Input_Jalan!H33)),"SEM ","")</f>
      </c>
      <c r="P33" s="0">
        <f>IF(I33&gt;0,"AL-DZR ","")&amp;IF(H33&gt;0,"AL-GRD ","")&amp;IF(J33&gt;0,"AL-RLR ","")&amp;IF(K33&gt;0,"AL-EXC ","")&amp;IF(L33&gt;0,"AL-WTR","")</f>
      </c>
    </row>
    <row r="34">
      <c r="A34" s="0">
        <f>Input_Jalan!A34</f>
      </c>
      <c r="B34" s="0">
        <f>Input_Jalan!B34</f>
      </c>
      <c r="C34" s="0">
        <f>Input_Jalan!F34</f>
      </c>
      <c r="D34" s="0">
        <f>Input_Jalan!I34</f>
      </c>
      <c r="E34" s="0">
        <f>Input_Jalan!K34</f>
      </c>
      <c r="F34" s="0">
        <f>Input_Jalan!K34*Asumsi!$B$5*(Input_Jalan!M34+Input_Jalan!N34+Input_Jalan!O34)</f>
      </c>
      <c r="G34" s="0">
        <f>Input_Jalan!I34*Asumsi!$B$7*Asumsi!$B$8*Input_Jalan!L34</f>
      </c>
      <c r="H34" s="0">
        <f>IF(ISNUMBER(SEARCH("GRADING",Input_Jalan!H34)),Input_Jalan!K34/Analisa_Produktivitas!$E$2,0)</f>
      </c>
      <c r="I34" s="0">
        <f>IF(ISNUMBER(SEARCH("RIPPING",Input_Jalan!H34)),=Input_Jalan!K34*Asumsi!$B$5*(Input_Jalan!M34+Input_Jalan!N34+Input_Jalan!O34)/Analisa_Produktivitas!$E$3,0)+IF(ISNUMBER(SEARCH("SPREADING",Input_Jalan!H34)),=Input_Jalan!K34*Asumsi!$B$5*(Input_Jalan!M34+Input_Jalan!N34+Input_Jalan!O34)/Analisa_Produktivitas!$E$4,0)+IF(ISNUMBER(SEARCH("BASECOURSE",Input_Jalan!H34)),=Input_Jalan!K34*Asumsi!$B$5*(Input_Jalan!M34+Input_Jalan!N34+Input_Jalan!O34)/Analisa_Produktivitas!$E$8,0)</f>
      </c>
      <c r="J34" s="0">
        <f>IF(OR(ISNUMBER(SEARCH("COMPACTING",Input_Jalan!H34)),ISNUMBER(SEARCH("PEMADATAN",Input_Jalan!H34))),=Input_Jalan!K34*Asumsi!$B$5*(Input_Jalan!M34+Input_Jalan!N34+Input_Jalan!O34)/Analisa_Produktivitas!$E$5,0)</f>
      </c>
      <c r="K34" s="0">
        <f>IF(ISNUMBER(SEARCH("DRAINASE",Input_Jalan!H34)),=Input_Jalan!I34*Asumsi!$B$7*Asumsi!$B$8*Input_Jalan!L34/Analisa_Produktivitas!$E$6,0)+IF(ISNUMBER(SEARCH("TANAH DASAR",Input_Jalan!H34)),=Input_Jalan!K34*Asumsi!$B$5*(Input_Jalan!M34+Input_Jalan!N34+Input_Jalan!O34)/Analisa_Produktivitas!$E$7,0)+IF(ISNUMBER(SEARCH("PATCHING",Input_Jalan!H34)),=Input_Jalan!K34*Asumsi!$B$5*(Input_Jalan!M34+Input_Jalan!N34+Input_Jalan!O34)/Analisa_Produktivitas!$E$9,0)</f>
      </c>
      <c r="L34" s="0">
        <f>IF(OR(ISNUMBER(SEARCH("COMPACTING",Input_Jalan!H34)),ISNUMBER(SEARCH("PEMADATAN",Input_Jalan!H34))),=Input_Jalan!K34*Asumsi!$B$5*(Input_Jalan!M34+Input_Jalan!N34+Input_Jalan!O34)*Asumsi!$B$9/Asumsi!$R$35,0)</f>
      </c>
      <c r="M34" s="0">
        <f>SUM(H34:L34)</f>
      </c>
      <c r="N34" s="0">
        <f>H34*Asumsi!$S$31+I34*Asumsi!$S$32+J34*Asumsi!$S$33+K34*Asumsi!$S$34+L34*Asumsi!$S$35</f>
      </c>
      <c r="O34" s="0">
        <f>IF(ISNUMBER(SEARCH("GRADING",Input_Jalan!H34)),"GRD ","")&amp;IF(ISNUMBER(SEARCH("RIPPING",Input_Jalan!H34)),"RIP ","")&amp;IF(ISNUMBER(SEARCH("SPREADING",Input_Jalan!H34)),"SPR ","")&amp;IF(ISNUMBER(SEARCH("COMPACTING",Input_Jalan!H34)),"CMP ","")&amp;IF(ISNUMBER(SEARCH("PEMADATAN",Input_Jalan!H34)),"CMP ","")&amp;IF(ISNUMBER(SEARCH("DRAINASE",Input_Jalan!H34)),"DRN ","")&amp;IF(ISNUMBER(SEARCH("TANAH DASAR",Input_Jalan!H34)),"SUB ","")&amp;IF(ISNUMBER(SEARCH("BASECOURSE",Input_Jalan!H34)),"BSC ","")&amp;IF(ISNUMBER(SEARCH("PATCHING",Input_Jalan!H34)),"PTH ","")&amp;IF(ISNUMBER(SEARCH("SEMENISASI",Input_Jalan!H34)),"SEM ","")</f>
      </c>
      <c r="P34" s="0">
        <f>IF(I34&gt;0,"AL-DZR ","")&amp;IF(H34&gt;0,"AL-GRD ","")&amp;IF(J34&gt;0,"AL-RLR ","")&amp;IF(K34&gt;0,"AL-EXC ","")&amp;IF(L34&gt;0,"AL-WTR","")</f>
      </c>
    </row>
    <row r="35">
      <c r="A35" s="0">
        <f>Input_Jalan!A35</f>
      </c>
      <c r="B35" s="0">
        <f>Input_Jalan!B35</f>
      </c>
      <c r="C35" s="0">
        <f>Input_Jalan!F35</f>
      </c>
      <c r="D35" s="0">
        <f>Input_Jalan!I35</f>
      </c>
      <c r="E35" s="0">
        <f>Input_Jalan!K35</f>
      </c>
      <c r="F35" s="0">
        <f>Input_Jalan!K35*Asumsi!$B$5*(Input_Jalan!M35+Input_Jalan!N35+Input_Jalan!O35)</f>
      </c>
      <c r="G35" s="0">
        <f>Input_Jalan!I35*Asumsi!$B$7*Asumsi!$B$8*Input_Jalan!L35</f>
      </c>
      <c r="H35" s="0">
        <f>IF(ISNUMBER(SEARCH("GRADING",Input_Jalan!H35)),Input_Jalan!K35/Analisa_Produktivitas!$E$2,0)</f>
      </c>
      <c r="I35" s="0">
        <f>IF(ISNUMBER(SEARCH("RIPPING",Input_Jalan!H35)),=Input_Jalan!K35*Asumsi!$B$5*(Input_Jalan!M35+Input_Jalan!N35+Input_Jalan!O35)/Analisa_Produktivitas!$E$3,0)+IF(ISNUMBER(SEARCH("SPREADING",Input_Jalan!H35)),=Input_Jalan!K35*Asumsi!$B$5*(Input_Jalan!M35+Input_Jalan!N35+Input_Jalan!O35)/Analisa_Produktivitas!$E$4,0)+IF(ISNUMBER(SEARCH("BASECOURSE",Input_Jalan!H35)),=Input_Jalan!K35*Asumsi!$B$5*(Input_Jalan!M35+Input_Jalan!N35+Input_Jalan!O35)/Analisa_Produktivitas!$E$8,0)</f>
      </c>
      <c r="J35" s="0">
        <f>IF(OR(ISNUMBER(SEARCH("COMPACTING",Input_Jalan!H35)),ISNUMBER(SEARCH("PEMADATAN",Input_Jalan!H35))),=Input_Jalan!K35*Asumsi!$B$5*(Input_Jalan!M35+Input_Jalan!N35+Input_Jalan!O35)/Analisa_Produktivitas!$E$5,0)</f>
      </c>
      <c r="K35" s="0">
        <f>IF(ISNUMBER(SEARCH("DRAINASE",Input_Jalan!H35)),=Input_Jalan!I35*Asumsi!$B$7*Asumsi!$B$8*Input_Jalan!L35/Analisa_Produktivitas!$E$6,0)+IF(ISNUMBER(SEARCH("TANAH DASAR",Input_Jalan!H35)),=Input_Jalan!K35*Asumsi!$B$5*(Input_Jalan!M35+Input_Jalan!N35+Input_Jalan!O35)/Analisa_Produktivitas!$E$7,0)+IF(ISNUMBER(SEARCH("PATCHING",Input_Jalan!H35)),=Input_Jalan!K35*Asumsi!$B$5*(Input_Jalan!M35+Input_Jalan!N35+Input_Jalan!O35)/Analisa_Produktivitas!$E$9,0)</f>
      </c>
      <c r="L35" s="0">
        <f>IF(OR(ISNUMBER(SEARCH("COMPACTING",Input_Jalan!H35)),ISNUMBER(SEARCH("PEMADATAN",Input_Jalan!H35))),=Input_Jalan!K35*Asumsi!$B$5*(Input_Jalan!M35+Input_Jalan!N35+Input_Jalan!O35)*Asumsi!$B$9/Asumsi!$R$35,0)</f>
      </c>
      <c r="M35" s="0">
        <f>SUM(H35:L35)</f>
      </c>
      <c r="N35" s="0">
        <f>H35*Asumsi!$S$31+I35*Asumsi!$S$32+J35*Asumsi!$S$33+K35*Asumsi!$S$34+L35*Asumsi!$S$35</f>
      </c>
      <c r="O35" s="0">
        <f>IF(ISNUMBER(SEARCH("GRADING",Input_Jalan!H35)),"GRD ","")&amp;IF(ISNUMBER(SEARCH("RIPPING",Input_Jalan!H35)),"RIP ","")&amp;IF(ISNUMBER(SEARCH("SPREADING",Input_Jalan!H35)),"SPR ","")&amp;IF(ISNUMBER(SEARCH("COMPACTING",Input_Jalan!H35)),"CMP ","")&amp;IF(ISNUMBER(SEARCH("PEMADATAN",Input_Jalan!H35)),"CMP ","")&amp;IF(ISNUMBER(SEARCH("DRAINASE",Input_Jalan!H35)),"DRN ","")&amp;IF(ISNUMBER(SEARCH("TANAH DASAR",Input_Jalan!H35)),"SUB ","")&amp;IF(ISNUMBER(SEARCH("BASECOURSE",Input_Jalan!H35)),"BSC ","")&amp;IF(ISNUMBER(SEARCH("PATCHING",Input_Jalan!H35)),"PTH ","")&amp;IF(ISNUMBER(SEARCH("SEMENISASI",Input_Jalan!H35)),"SEM ","")</f>
      </c>
      <c r="P35" s="0">
        <f>IF(I35&gt;0,"AL-DZR ","")&amp;IF(H35&gt;0,"AL-GRD ","")&amp;IF(J35&gt;0,"AL-RLR ","")&amp;IF(K35&gt;0,"AL-EXC ","")&amp;IF(L35&gt;0,"AL-WTR","")</f>
      </c>
    </row>
    <row r="36">
      <c r="A36" s="0">
        <f>Input_Jalan!A36</f>
      </c>
      <c r="B36" s="0">
        <f>Input_Jalan!B36</f>
      </c>
      <c r="C36" s="0">
        <f>Input_Jalan!F36</f>
      </c>
      <c r="D36" s="0">
        <f>Input_Jalan!I36</f>
      </c>
      <c r="E36" s="0">
        <f>Input_Jalan!K36</f>
      </c>
      <c r="F36" s="0">
        <f>Input_Jalan!K36*Asumsi!$B$5*(Input_Jalan!M36+Input_Jalan!N36+Input_Jalan!O36)</f>
      </c>
      <c r="G36" s="0">
        <f>Input_Jalan!I36*Asumsi!$B$7*Asumsi!$B$8*Input_Jalan!L36</f>
      </c>
      <c r="H36" s="0">
        <f>IF(ISNUMBER(SEARCH("GRADING",Input_Jalan!H36)),Input_Jalan!K36/Analisa_Produktivitas!$E$2,0)</f>
      </c>
      <c r="I36" s="0">
        <f>IF(ISNUMBER(SEARCH("RIPPING",Input_Jalan!H36)),=Input_Jalan!K36*Asumsi!$B$5*(Input_Jalan!M36+Input_Jalan!N36+Input_Jalan!O36)/Analisa_Produktivitas!$E$3,0)+IF(ISNUMBER(SEARCH("SPREADING",Input_Jalan!H36)),=Input_Jalan!K36*Asumsi!$B$5*(Input_Jalan!M36+Input_Jalan!N36+Input_Jalan!O36)/Analisa_Produktivitas!$E$4,0)+IF(ISNUMBER(SEARCH("BASECOURSE",Input_Jalan!H36)),=Input_Jalan!K36*Asumsi!$B$5*(Input_Jalan!M36+Input_Jalan!N36+Input_Jalan!O36)/Analisa_Produktivitas!$E$8,0)</f>
      </c>
      <c r="J36" s="0">
        <f>IF(OR(ISNUMBER(SEARCH("COMPACTING",Input_Jalan!H36)),ISNUMBER(SEARCH("PEMADATAN",Input_Jalan!H36))),=Input_Jalan!K36*Asumsi!$B$5*(Input_Jalan!M36+Input_Jalan!N36+Input_Jalan!O36)/Analisa_Produktivitas!$E$5,0)</f>
      </c>
      <c r="K36" s="0">
        <f>IF(ISNUMBER(SEARCH("DRAINASE",Input_Jalan!H36)),=Input_Jalan!I36*Asumsi!$B$7*Asumsi!$B$8*Input_Jalan!L36/Analisa_Produktivitas!$E$6,0)+IF(ISNUMBER(SEARCH("TANAH DASAR",Input_Jalan!H36)),=Input_Jalan!K36*Asumsi!$B$5*(Input_Jalan!M36+Input_Jalan!N36+Input_Jalan!O36)/Analisa_Produktivitas!$E$7,0)+IF(ISNUMBER(SEARCH("PATCHING",Input_Jalan!H36)),=Input_Jalan!K36*Asumsi!$B$5*(Input_Jalan!M36+Input_Jalan!N36+Input_Jalan!O36)/Analisa_Produktivitas!$E$9,0)</f>
      </c>
      <c r="L36" s="0">
        <f>IF(OR(ISNUMBER(SEARCH("COMPACTING",Input_Jalan!H36)),ISNUMBER(SEARCH("PEMADATAN",Input_Jalan!H36))),=Input_Jalan!K36*Asumsi!$B$5*(Input_Jalan!M36+Input_Jalan!N36+Input_Jalan!O36)*Asumsi!$B$9/Asumsi!$R$35,0)</f>
      </c>
      <c r="M36" s="0">
        <f>SUM(H36:L36)</f>
      </c>
      <c r="N36" s="0">
        <f>H36*Asumsi!$S$31+I36*Asumsi!$S$32+J36*Asumsi!$S$33+K36*Asumsi!$S$34+L36*Asumsi!$S$35</f>
      </c>
      <c r="O36" s="0">
        <f>IF(ISNUMBER(SEARCH("GRADING",Input_Jalan!H36)),"GRD ","")&amp;IF(ISNUMBER(SEARCH("RIPPING",Input_Jalan!H36)),"RIP ","")&amp;IF(ISNUMBER(SEARCH("SPREADING",Input_Jalan!H36)),"SPR ","")&amp;IF(ISNUMBER(SEARCH("COMPACTING",Input_Jalan!H36)),"CMP ","")&amp;IF(ISNUMBER(SEARCH("PEMADATAN",Input_Jalan!H36)),"CMP ","")&amp;IF(ISNUMBER(SEARCH("DRAINASE",Input_Jalan!H36)),"DRN ","")&amp;IF(ISNUMBER(SEARCH("TANAH DASAR",Input_Jalan!H36)),"SUB ","")&amp;IF(ISNUMBER(SEARCH("BASECOURSE",Input_Jalan!H36)),"BSC ","")&amp;IF(ISNUMBER(SEARCH("PATCHING",Input_Jalan!H36)),"PTH ","")&amp;IF(ISNUMBER(SEARCH("SEMENISASI",Input_Jalan!H36)),"SEM ","")</f>
      </c>
      <c r="P36" s="0">
        <f>IF(I36&gt;0,"AL-DZR ","")&amp;IF(H36&gt;0,"AL-GRD ","")&amp;IF(J36&gt;0,"AL-RLR ","")&amp;IF(K36&gt;0,"AL-EXC ","")&amp;IF(L36&gt;0,"AL-WTR","")</f>
      </c>
    </row>
    <row r="37">
      <c r="A37" s="0">
        <f>Input_Jalan!A37</f>
      </c>
      <c r="B37" s="0">
        <f>Input_Jalan!B37</f>
      </c>
      <c r="C37" s="0">
        <f>Input_Jalan!F37</f>
      </c>
      <c r="D37" s="0">
        <f>Input_Jalan!I37</f>
      </c>
      <c r="E37" s="0">
        <f>Input_Jalan!K37</f>
      </c>
      <c r="F37" s="0">
        <f>Input_Jalan!K37*Asumsi!$B$5*(Input_Jalan!M37+Input_Jalan!N37+Input_Jalan!O37)</f>
      </c>
      <c r="G37" s="0">
        <f>Input_Jalan!I37*Asumsi!$B$7*Asumsi!$B$8*Input_Jalan!L37</f>
      </c>
      <c r="H37" s="0">
        <f>IF(ISNUMBER(SEARCH("GRADING",Input_Jalan!H37)),Input_Jalan!K37/Analisa_Produktivitas!$E$2,0)</f>
      </c>
      <c r="I37" s="0">
        <f>IF(ISNUMBER(SEARCH("RIPPING",Input_Jalan!H37)),=Input_Jalan!K37*Asumsi!$B$5*(Input_Jalan!M37+Input_Jalan!N37+Input_Jalan!O37)/Analisa_Produktivitas!$E$3,0)+IF(ISNUMBER(SEARCH("SPREADING",Input_Jalan!H37)),=Input_Jalan!K37*Asumsi!$B$5*(Input_Jalan!M37+Input_Jalan!N37+Input_Jalan!O37)/Analisa_Produktivitas!$E$4,0)+IF(ISNUMBER(SEARCH("BASECOURSE",Input_Jalan!H37)),=Input_Jalan!K37*Asumsi!$B$5*(Input_Jalan!M37+Input_Jalan!N37+Input_Jalan!O37)/Analisa_Produktivitas!$E$8,0)</f>
      </c>
      <c r="J37" s="0">
        <f>IF(OR(ISNUMBER(SEARCH("COMPACTING",Input_Jalan!H37)),ISNUMBER(SEARCH("PEMADATAN",Input_Jalan!H37))),=Input_Jalan!K37*Asumsi!$B$5*(Input_Jalan!M37+Input_Jalan!N37+Input_Jalan!O37)/Analisa_Produktivitas!$E$5,0)</f>
      </c>
      <c r="K37" s="0">
        <f>IF(ISNUMBER(SEARCH("DRAINASE",Input_Jalan!H37)),=Input_Jalan!I37*Asumsi!$B$7*Asumsi!$B$8*Input_Jalan!L37/Analisa_Produktivitas!$E$6,0)+IF(ISNUMBER(SEARCH("TANAH DASAR",Input_Jalan!H37)),=Input_Jalan!K37*Asumsi!$B$5*(Input_Jalan!M37+Input_Jalan!N37+Input_Jalan!O37)/Analisa_Produktivitas!$E$7,0)+IF(ISNUMBER(SEARCH("PATCHING",Input_Jalan!H37)),=Input_Jalan!K37*Asumsi!$B$5*(Input_Jalan!M37+Input_Jalan!N37+Input_Jalan!O37)/Analisa_Produktivitas!$E$9,0)</f>
      </c>
      <c r="L37" s="0">
        <f>IF(OR(ISNUMBER(SEARCH("COMPACTING",Input_Jalan!H37)),ISNUMBER(SEARCH("PEMADATAN",Input_Jalan!H37))),=Input_Jalan!K37*Asumsi!$B$5*(Input_Jalan!M37+Input_Jalan!N37+Input_Jalan!O37)*Asumsi!$B$9/Asumsi!$R$35,0)</f>
      </c>
      <c r="M37" s="0">
        <f>SUM(H37:L37)</f>
      </c>
      <c r="N37" s="0">
        <f>H37*Asumsi!$S$31+I37*Asumsi!$S$32+J37*Asumsi!$S$33+K37*Asumsi!$S$34+L37*Asumsi!$S$35</f>
      </c>
      <c r="O37" s="0">
        <f>IF(ISNUMBER(SEARCH("GRADING",Input_Jalan!H37)),"GRD ","")&amp;IF(ISNUMBER(SEARCH("RIPPING",Input_Jalan!H37)),"RIP ","")&amp;IF(ISNUMBER(SEARCH("SPREADING",Input_Jalan!H37)),"SPR ","")&amp;IF(ISNUMBER(SEARCH("COMPACTING",Input_Jalan!H37)),"CMP ","")&amp;IF(ISNUMBER(SEARCH("PEMADATAN",Input_Jalan!H37)),"CMP ","")&amp;IF(ISNUMBER(SEARCH("DRAINASE",Input_Jalan!H37)),"DRN ","")&amp;IF(ISNUMBER(SEARCH("TANAH DASAR",Input_Jalan!H37)),"SUB ","")&amp;IF(ISNUMBER(SEARCH("BASECOURSE",Input_Jalan!H37)),"BSC ","")&amp;IF(ISNUMBER(SEARCH("PATCHING",Input_Jalan!H37)),"PTH ","")&amp;IF(ISNUMBER(SEARCH("SEMENISASI",Input_Jalan!H37)),"SEM ","")</f>
      </c>
      <c r="P37" s="0">
        <f>IF(I37&gt;0,"AL-DZR ","")&amp;IF(H37&gt;0,"AL-GRD ","")&amp;IF(J37&gt;0,"AL-RLR ","")&amp;IF(K37&gt;0,"AL-EXC ","")&amp;IF(L37&gt;0,"AL-WTR","")</f>
      </c>
    </row>
    <row r="38">
      <c r="A38" s="0">
        <f>Input_Jalan!A38</f>
      </c>
      <c r="B38" s="0">
        <f>Input_Jalan!B38</f>
      </c>
      <c r="C38" s="0">
        <f>Input_Jalan!F38</f>
      </c>
      <c r="D38" s="0">
        <f>Input_Jalan!I38</f>
      </c>
      <c r="E38" s="0">
        <f>Input_Jalan!K38</f>
      </c>
      <c r="F38" s="0">
        <f>Input_Jalan!K38*Asumsi!$B$5*(Input_Jalan!M38+Input_Jalan!N38+Input_Jalan!O38)</f>
      </c>
      <c r="G38" s="0">
        <f>Input_Jalan!I38*Asumsi!$B$7*Asumsi!$B$8*Input_Jalan!L38</f>
      </c>
      <c r="H38" s="0">
        <f>IF(ISNUMBER(SEARCH("GRADING",Input_Jalan!H38)),Input_Jalan!K38/Analisa_Produktivitas!$E$2,0)</f>
      </c>
      <c r="I38" s="0">
        <f>IF(ISNUMBER(SEARCH("RIPPING",Input_Jalan!H38)),=Input_Jalan!K38*Asumsi!$B$5*(Input_Jalan!M38+Input_Jalan!N38+Input_Jalan!O38)/Analisa_Produktivitas!$E$3,0)+IF(ISNUMBER(SEARCH("SPREADING",Input_Jalan!H38)),=Input_Jalan!K38*Asumsi!$B$5*(Input_Jalan!M38+Input_Jalan!N38+Input_Jalan!O38)/Analisa_Produktivitas!$E$4,0)+IF(ISNUMBER(SEARCH("BASECOURSE",Input_Jalan!H38)),=Input_Jalan!K38*Asumsi!$B$5*(Input_Jalan!M38+Input_Jalan!N38+Input_Jalan!O38)/Analisa_Produktivitas!$E$8,0)</f>
      </c>
      <c r="J38" s="0">
        <f>IF(OR(ISNUMBER(SEARCH("COMPACTING",Input_Jalan!H38)),ISNUMBER(SEARCH("PEMADATAN",Input_Jalan!H38))),=Input_Jalan!K38*Asumsi!$B$5*(Input_Jalan!M38+Input_Jalan!N38+Input_Jalan!O38)/Analisa_Produktivitas!$E$5,0)</f>
      </c>
      <c r="K38" s="0">
        <f>IF(ISNUMBER(SEARCH("DRAINASE",Input_Jalan!H38)),=Input_Jalan!I38*Asumsi!$B$7*Asumsi!$B$8*Input_Jalan!L38/Analisa_Produktivitas!$E$6,0)+IF(ISNUMBER(SEARCH("TANAH DASAR",Input_Jalan!H38)),=Input_Jalan!K38*Asumsi!$B$5*(Input_Jalan!M38+Input_Jalan!N38+Input_Jalan!O38)/Analisa_Produktivitas!$E$7,0)+IF(ISNUMBER(SEARCH("PATCHING",Input_Jalan!H38)),=Input_Jalan!K38*Asumsi!$B$5*(Input_Jalan!M38+Input_Jalan!N38+Input_Jalan!O38)/Analisa_Produktivitas!$E$9,0)</f>
      </c>
      <c r="L38" s="0">
        <f>IF(OR(ISNUMBER(SEARCH("COMPACTING",Input_Jalan!H38)),ISNUMBER(SEARCH("PEMADATAN",Input_Jalan!H38))),=Input_Jalan!K38*Asumsi!$B$5*(Input_Jalan!M38+Input_Jalan!N38+Input_Jalan!O38)*Asumsi!$B$9/Asumsi!$R$35,0)</f>
      </c>
      <c r="M38" s="0">
        <f>SUM(H38:L38)</f>
      </c>
      <c r="N38" s="0">
        <f>H38*Asumsi!$S$31+I38*Asumsi!$S$32+J38*Asumsi!$S$33+K38*Asumsi!$S$34+L38*Asumsi!$S$35</f>
      </c>
      <c r="O38" s="0">
        <f>IF(ISNUMBER(SEARCH("GRADING",Input_Jalan!H38)),"GRD ","")&amp;IF(ISNUMBER(SEARCH("RIPPING",Input_Jalan!H38)),"RIP ","")&amp;IF(ISNUMBER(SEARCH("SPREADING",Input_Jalan!H38)),"SPR ","")&amp;IF(ISNUMBER(SEARCH("COMPACTING",Input_Jalan!H38)),"CMP ","")&amp;IF(ISNUMBER(SEARCH("PEMADATAN",Input_Jalan!H38)),"CMP ","")&amp;IF(ISNUMBER(SEARCH("DRAINASE",Input_Jalan!H38)),"DRN ","")&amp;IF(ISNUMBER(SEARCH("TANAH DASAR",Input_Jalan!H38)),"SUB ","")&amp;IF(ISNUMBER(SEARCH("BASECOURSE",Input_Jalan!H38)),"BSC ","")&amp;IF(ISNUMBER(SEARCH("PATCHING",Input_Jalan!H38)),"PTH ","")&amp;IF(ISNUMBER(SEARCH("SEMENISASI",Input_Jalan!H38)),"SEM ","")</f>
      </c>
      <c r="P38" s="0">
        <f>IF(I38&gt;0,"AL-DZR ","")&amp;IF(H38&gt;0,"AL-GRD ","")&amp;IF(J38&gt;0,"AL-RLR ","")&amp;IF(K38&gt;0,"AL-EXC ","")&amp;IF(L38&gt;0,"AL-WTR","")</f>
      </c>
    </row>
    <row r="39">
      <c r="A39" s="0">
        <f>Input_Jalan!A39</f>
      </c>
      <c r="B39" s="0">
        <f>Input_Jalan!B39</f>
      </c>
      <c r="C39" s="0">
        <f>Input_Jalan!F39</f>
      </c>
      <c r="D39" s="0">
        <f>Input_Jalan!I39</f>
      </c>
      <c r="E39" s="0">
        <f>Input_Jalan!K39</f>
      </c>
      <c r="F39" s="0">
        <f>Input_Jalan!K39*Asumsi!$B$5*(Input_Jalan!M39+Input_Jalan!N39+Input_Jalan!O39)</f>
      </c>
      <c r="G39" s="0">
        <f>Input_Jalan!I39*Asumsi!$B$7*Asumsi!$B$8*Input_Jalan!L39</f>
      </c>
      <c r="H39" s="0">
        <f>IF(ISNUMBER(SEARCH("GRADING",Input_Jalan!H39)),Input_Jalan!K39/Analisa_Produktivitas!$E$2,0)</f>
      </c>
      <c r="I39" s="0">
        <f>IF(ISNUMBER(SEARCH("RIPPING",Input_Jalan!H39)),=Input_Jalan!K39*Asumsi!$B$5*(Input_Jalan!M39+Input_Jalan!N39+Input_Jalan!O39)/Analisa_Produktivitas!$E$3,0)+IF(ISNUMBER(SEARCH("SPREADING",Input_Jalan!H39)),=Input_Jalan!K39*Asumsi!$B$5*(Input_Jalan!M39+Input_Jalan!N39+Input_Jalan!O39)/Analisa_Produktivitas!$E$4,0)+IF(ISNUMBER(SEARCH("BASECOURSE",Input_Jalan!H39)),=Input_Jalan!K39*Asumsi!$B$5*(Input_Jalan!M39+Input_Jalan!N39+Input_Jalan!O39)/Analisa_Produktivitas!$E$8,0)</f>
      </c>
      <c r="J39" s="0">
        <f>IF(OR(ISNUMBER(SEARCH("COMPACTING",Input_Jalan!H39)),ISNUMBER(SEARCH("PEMADATAN",Input_Jalan!H39))),=Input_Jalan!K39*Asumsi!$B$5*(Input_Jalan!M39+Input_Jalan!N39+Input_Jalan!O39)/Analisa_Produktivitas!$E$5,0)</f>
      </c>
      <c r="K39" s="0">
        <f>IF(ISNUMBER(SEARCH("DRAINASE",Input_Jalan!H39)),=Input_Jalan!I39*Asumsi!$B$7*Asumsi!$B$8*Input_Jalan!L39/Analisa_Produktivitas!$E$6,0)+IF(ISNUMBER(SEARCH("TANAH DASAR",Input_Jalan!H39)),=Input_Jalan!K39*Asumsi!$B$5*(Input_Jalan!M39+Input_Jalan!N39+Input_Jalan!O39)/Analisa_Produktivitas!$E$7,0)+IF(ISNUMBER(SEARCH("PATCHING",Input_Jalan!H39)),=Input_Jalan!K39*Asumsi!$B$5*(Input_Jalan!M39+Input_Jalan!N39+Input_Jalan!O39)/Analisa_Produktivitas!$E$9,0)</f>
      </c>
      <c r="L39" s="0">
        <f>IF(OR(ISNUMBER(SEARCH("COMPACTING",Input_Jalan!H39)),ISNUMBER(SEARCH("PEMADATAN",Input_Jalan!H39))),=Input_Jalan!K39*Asumsi!$B$5*(Input_Jalan!M39+Input_Jalan!N39+Input_Jalan!O39)*Asumsi!$B$9/Asumsi!$R$35,0)</f>
      </c>
      <c r="M39" s="0">
        <f>SUM(H39:L39)</f>
      </c>
      <c r="N39" s="0">
        <f>H39*Asumsi!$S$31+I39*Asumsi!$S$32+J39*Asumsi!$S$33+K39*Asumsi!$S$34+L39*Asumsi!$S$35</f>
      </c>
      <c r="O39" s="0">
        <f>IF(ISNUMBER(SEARCH("GRADING",Input_Jalan!H39)),"GRD ","")&amp;IF(ISNUMBER(SEARCH("RIPPING",Input_Jalan!H39)),"RIP ","")&amp;IF(ISNUMBER(SEARCH("SPREADING",Input_Jalan!H39)),"SPR ","")&amp;IF(ISNUMBER(SEARCH("COMPACTING",Input_Jalan!H39)),"CMP ","")&amp;IF(ISNUMBER(SEARCH("PEMADATAN",Input_Jalan!H39)),"CMP ","")&amp;IF(ISNUMBER(SEARCH("DRAINASE",Input_Jalan!H39)),"DRN ","")&amp;IF(ISNUMBER(SEARCH("TANAH DASAR",Input_Jalan!H39)),"SUB ","")&amp;IF(ISNUMBER(SEARCH("BASECOURSE",Input_Jalan!H39)),"BSC ","")&amp;IF(ISNUMBER(SEARCH("PATCHING",Input_Jalan!H39)),"PTH ","")&amp;IF(ISNUMBER(SEARCH("SEMENISASI",Input_Jalan!H39)),"SEM ","")</f>
      </c>
      <c r="P39" s="0">
        <f>IF(I39&gt;0,"AL-DZR ","")&amp;IF(H39&gt;0,"AL-GRD ","")&amp;IF(J39&gt;0,"AL-RLR ","")&amp;IF(K39&gt;0,"AL-EXC ","")&amp;IF(L39&gt;0,"AL-WTR","")</f>
      </c>
    </row>
    <row r="40">
      <c r="A40" s="0">
        <f>Input_Jalan!A40</f>
      </c>
      <c r="B40" s="0">
        <f>Input_Jalan!B40</f>
      </c>
      <c r="C40" s="0">
        <f>Input_Jalan!F40</f>
      </c>
      <c r="D40" s="0">
        <f>Input_Jalan!I40</f>
      </c>
      <c r="E40" s="0">
        <f>Input_Jalan!K40</f>
      </c>
      <c r="F40" s="0">
        <f>Input_Jalan!K40*Asumsi!$B$5*(Input_Jalan!M40+Input_Jalan!N40+Input_Jalan!O40)</f>
      </c>
      <c r="G40" s="0">
        <f>Input_Jalan!I40*Asumsi!$B$7*Asumsi!$B$8*Input_Jalan!L40</f>
      </c>
      <c r="H40" s="0">
        <f>IF(ISNUMBER(SEARCH("GRADING",Input_Jalan!H40)),Input_Jalan!K40/Analisa_Produktivitas!$E$2,0)</f>
      </c>
      <c r="I40" s="0">
        <f>IF(ISNUMBER(SEARCH("RIPPING",Input_Jalan!H40)),=Input_Jalan!K40*Asumsi!$B$5*(Input_Jalan!M40+Input_Jalan!N40+Input_Jalan!O40)/Analisa_Produktivitas!$E$3,0)+IF(ISNUMBER(SEARCH("SPREADING",Input_Jalan!H40)),=Input_Jalan!K40*Asumsi!$B$5*(Input_Jalan!M40+Input_Jalan!N40+Input_Jalan!O40)/Analisa_Produktivitas!$E$4,0)+IF(ISNUMBER(SEARCH("BASECOURSE",Input_Jalan!H40)),=Input_Jalan!K40*Asumsi!$B$5*(Input_Jalan!M40+Input_Jalan!N40+Input_Jalan!O40)/Analisa_Produktivitas!$E$8,0)</f>
      </c>
      <c r="J40" s="0">
        <f>IF(OR(ISNUMBER(SEARCH("COMPACTING",Input_Jalan!H40)),ISNUMBER(SEARCH("PEMADATAN",Input_Jalan!H40))),=Input_Jalan!K40*Asumsi!$B$5*(Input_Jalan!M40+Input_Jalan!N40+Input_Jalan!O40)/Analisa_Produktivitas!$E$5,0)</f>
      </c>
      <c r="K40" s="0">
        <f>IF(ISNUMBER(SEARCH("DRAINASE",Input_Jalan!H40)),=Input_Jalan!I40*Asumsi!$B$7*Asumsi!$B$8*Input_Jalan!L40/Analisa_Produktivitas!$E$6,0)+IF(ISNUMBER(SEARCH("TANAH DASAR",Input_Jalan!H40)),=Input_Jalan!K40*Asumsi!$B$5*(Input_Jalan!M40+Input_Jalan!N40+Input_Jalan!O40)/Analisa_Produktivitas!$E$7,0)+IF(ISNUMBER(SEARCH("PATCHING",Input_Jalan!H40)),=Input_Jalan!K40*Asumsi!$B$5*(Input_Jalan!M40+Input_Jalan!N40+Input_Jalan!O40)/Analisa_Produktivitas!$E$9,0)</f>
      </c>
      <c r="L40" s="0">
        <f>IF(OR(ISNUMBER(SEARCH("COMPACTING",Input_Jalan!H40)),ISNUMBER(SEARCH("PEMADATAN",Input_Jalan!H40))),=Input_Jalan!K40*Asumsi!$B$5*(Input_Jalan!M40+Input_Jalan!N40+Input_Jalan!O40)*Asumsi!$B$9/Asumsi!$R$35,0)</f>
      </c>
      <c r="M40" s="0">
        <f>SUM(H40:L40)</f>
      </c>
      <c r="N40" s="0">
        <f>H40*Asumsi!$S$31+I40*Asumsi!$S$32+J40*Asumsi!$S$33+K40*Asumsi!$S$34+L40*Asumsi!$S$35</f>
      </c>
      <c r="O40" s="0">
        <f>IF(ISNUMBER(SEARCH("GRADING",Input_Jalan!H40)),"GRD ","")&amp;IF(ISNUMBER(SEARCH("RIPPING",Input_Jalan!H40)),"RIP ","")&amp;IF(ISNUMBER(SEARCH("SPREADING",Input_Jalan!H40)),"SPR ","")&amp;IF(ISNUMBER(SEARCH("COMPACTING",Input_Jalan!H40)),"CMP ","")&amp;IF(ISNUMBER(SEARCH("PEMADATAN",Input_Jalan!H40)),"CMP ","")&amp;IF(ISNUMBER(SEARCH("DRAINASE",Input_Jalan!H40)),"DRN ","")&amp;IF(ISNUMBER(SEARCH("TANAH DASAR",Input_Jalan!H40)),"SUB ","")&amp;IF(ISNUMBER(SEARCH("BASECOURSE",Input_Jalan!H40)),"BSC ","")&amp;IF(ISNUMBER(SEARCH("PATCHING",Input_Jalan!H40)),"PTH ","")&amp;IF(ISNUMBER(SEARCH("SEMENISASI",Input_Jalan!H40)),"SEM ","")</f>
      </c>
      <c r="P40" s="0">
        <f>IF(I40&gt;0,"AL-DZR ","")&amp;IF(H40&gt;0,"AL-GRD ","")&amp;IF(J40&gt;0,"AL-RLR ","")&amp;IF(K40&gt;0,"AL-EXC ","")&amp;IF(L40&gt;0,"AL-WTR","")</f>
      </c>
    </row>
    <row r="41">
      <c r="A41" s="0">
        <f>Input_Jalan!A41</f>
      </c>
      <c r="B41" s="0">
        <f>Input_Jalan!B41</f>
      </c>
      <c r="C41" s="0">
        <f>Input_Jalan!F41</f>
      </c>
      <c r="D41" s="0">
        <f>Input_Jalan!I41</f>
      </c>
      <c r="E41" s="0">
        <f>Input_Jalan!K41</f>
      </c>
      <c r="F41" s="0">
        <f>Input_Jalan!K41*Asumsi!$B$5*(Input_Jalan!M41+Input_Jalan!N41+Input_Jalan!O41)</f>
      </c>
      <c r="G41" s="0">
        <f>Input_Jalan!I41*Asumsi!$B$7*Asumsi!$B$8*Input_Jalan!L41</f>
      </c>
      <c r="H41" s="0">
        <f>IF(ISNUMBER(SEARCH("GRADING",Input_Jalan!H41)),Input_Jalan!K41/Analisa_Produktivitas!$E$2,0)</f>
      </c>
      <c r="I41" s="0">
        <f>IF(ISNUMBER(SEARCH("RIPPING",Input_Jalan!H41)),=Input_Jalan!K41*Asumsi!$B$5*(Input_Jalan!M41+Input_Jalan!N41+Input_Jalan!O41)/Analisa_Produktivitas!$E$3,0)+IF(ISNUMBER(SEARCH("SPREADING",Input_Jalan!H41)),=Input_Jalan!K41*Asumsi!$B$5*(Input_Jalan!M41+Input_Jalan!N41+Input_Jalan!O41)/Analisa_Produktivitas!$E$4,0)+IF(ISNUMBER(SEARCH("BASECOURSE",Input_Jalan!H41)),=Input_Jalan!K41*Asumsi!$B$5*(Input_Jalan!M41+Input_Jalan!N41+Input_Jalan!O41)/Analisa_Produktivitas!$E$8,0)</f>
      </c>
      <c r="J41" s="0">
        <f>IF(OR(ISNUMBER(SEARCH("COMPACTING",Input_Jalan!H41)),ISNUMBER(SEARCH("PEMADATAN",Input_Jalan!H41))),=Input_Jalan!K41*Asumsi!$B$5*(Input_Jalan!M41+Input_Jalan!N41+Input_Jalan!O41)/Analisa_Produktivitas!$E$5,0)</f>
      </c>
      <c r="K41" s="0">
        <f>IF(ISNUMBER(SEARCH("DRAINASE",Input_Jalan!H41)),=Input_Jalan!I41*Asumsi!$B$7*Asumsi!$B$8*Input_Jalan!L41/Analisa_Produktivitas!$E$6,0)+IF(ISNUMBER(SEARCH("TANAH DASAR",Input_Jalan!H41)),=Input_Jalan!K41*Asumsi!$B$5*(Input_Jalan!M41+Input_Jalan!N41+Input_Jalan!O41)/Analisa_Produktivitas!$E$7,0)+IF(ISNUMBER(SEARCH("PATCHING",Input_Jalan!H41)),=Input_Jalan!K41*Asumsi!$B$5*(Input_Jalan!M41+Input_Jalan!N41+Input_Jalan!O41)/Analisa_Produktivitas!$E$9,0)</f>
      </c>
      <c r="L41" s="0">
        <f>IF(OR(ISNUMBER(SEARCH("COMPACTING",Input_Jalan!H41)),ISNUMBER(SEARCH("PEMADATAN",Input_Jalan!H41))),=Input_Jalan!K41*Asumsi!$B$5*(Input_Jalan!M41+Input_Jalan!N41+Input_Jalan!O41)*Asumsi!$B$9/Asumsi!$R$35,0)</f>
      </c>
      <c r="M41" s="0">
        <f>SUM(H41:L41)</f>
      </c>
      <c r="N41" s="0">
        <f>H41*Asumsi!$S$31+I41*Asumsi!$S$32+J41*Asumsi!$S$33+K41*Asumsi!$S$34+L41*Asumsi!$S$35</f>
      </c>
      <c r="O41" s="0">
        <f>IF(ISNUMBER(SEARCH("GRADING",Input_Jalan!H41)),"GRD ","")&amp;IF(ISNUMBER(SEARCH("RIPPING",Input_Jalan!H41)),"RIP ","")&amp;IF(ISNUMBER(SEARCH("SPREADING",Input_Jalan!H41)),"SPR ","")&amp;IF(ISNUMBER(SEARCH("COMPACTING",Input_Jalan!H41)),"CMP ","")&amp;IF(ISNUMBER(SEARCH("PEMADATAN",Input_Jalan!H41)),"CMP ","")&amp;IF(ISNUMBER(SEARCH("DRAINASE",Input_Jalan!H41)),"DRN ","")&amp;IF(ISNUMBER(SEARCH("TANAH DASAR",Input_Jalan!H41)),"SUB ","")&amp;IF(ISNUMBER(SEARCH("BASECOURSE",Input_Jalan!H41)),"BSC ","")&amp;IF(ISNUMBER(SEARCH("PATCHING",Input_Jalan!H41)),"PTH ","")&amp;IF(ISNUMBER(SEARCH("SEMENISASI",Input_Jalan!H41)),"SEM ","")</f>
      </c>
      <c r="P41" s="0">
        <f>IF(I41&gt;0,"AL-DZR ","")&amp;IF(H41&gt;0,"AL-GRD ","")&amp;IF(J41&gt;0,"AL-RLR ","")&amp;IF(K41&gt;0,"AL-EXC ","")&amp;IF(L41&gt;0,"AL-WTR","")</f>
      </c>
    </row>
    <row r="42">
      <c r="A42" s="0">
        <f>Input_Jalan!A42</f>
      </c>
      <c r="B42" s="0">
        <f>Input_Jalan!B42</f>
      </c>
      <c r="C42" s="0">
        <f>Input_Jalan!F42</f>
      </c>
      <c r="D42" s="0">
        <f>Input_Jalan!I42</f>
      </c>
      <c r="E42" s="0">
        <f>Input_Jalan!K42</f>
      </c>
      <c r="F42" s="0">
        <f>Input_Jalan!K42*Asumsi!$B$5*(Input_Jalan!M42+Input_Jalan!N42+Input_Jalan!O42)</f>
      </c>
      <c r="G42" s="0">
        <f>Input_Jalan!I42*Asumsi!$B$7*Asumsi!$B$8*Input_Jalan!L42</f>
      </c>
      <c r="H42" s="0">
        <f>IF(ISNUMBER(SEARCH("GRADING",Input_Jalan!H42)),Input_Jalan!K42/Analisa_Produktivitas!$E$2,0)</f>
      </c>
      <c r="I42" s="0">
        <f>IF(ISNUMBER(SEARCH("RIPPING",Input_Jalan!H42)),=Input_Jalan!K42*Asumsi!$B$5*(Input_Jalan!M42+Input_Jalan!N42+Input_Jalan!O42)/Analisa_Produktivitas!$E$3,0)+IF(ISNUMBER(SEARCH("SPREADING",Input_Jalan!H42)),=Input_Jalan!K42*Asumsi!$B$5*(Input_Jalan!M42+Input_Jalan!N42+Input_Jalan!O42)/Analisa_Produktivitas!$E$4,0)+IF(ISNUMBER(SEARCH("BASECOURSE",Input_Jalan!H42)),=Input_Jalan!K42*Asumsi!$B$5*(Input_Jalan!M42+Input_Jalan!N42+Input_Jalan!O42)/Analisa_Produktivitas!$E$8,0)</f>
      </c>
      <c r="J42" s="0">
        <f>IF(OR(ISNUMBER(SEARCH("COMPACTING",Input_Jalan!H42)),ISNUMBER(SEARCH("PEMADATAN",Input_Jalan!H42))),=Input_Jalan!K42*Asumsi!$B$5*(Input_Jalan!M42+Input_Jalan!N42+Input_Jalan!O42)/Analisa_Produktivitas!$E$5,0)</f>
      </c>
      <c r="K42" s="0">
        <f>IF(ISNUMBER(SEARCH("DRAINASE",Input_Jalan!H42)),=Input_Jalan!I42*Asumsi!$B$7*Asumsi!$B$8*Input_Jalan!L42/Analisa_Produktivitas!$E$6,0)+IF(ISNUMBER(SEARCH("TANAH DASAR",Input_Jalan!H42)),=Input_Jalan!K42*Asumsi!$B$5*(Input_Jalan!M42+Input_Jalan!N42+Input_Jalan!O42)/Analisa_Produktivitas!$E$7,0)+IF(ISNUMBER(SEARCH("PATCHING",Input_Jalan!H42)),=Input_Jalan!K42*Asumsi!$B$5*(Input_Jalan!M42+Input_Jalan!N42+Input_Jalan!O42)/Analisa_Produktivitas!$E$9,0)</f>
      </c>
      <c r="L42" s="0">
        <f>IF(OR(ISNUMBER(SEARCH("COMPACTING",Input_Jalan!H42)),ISNUMBER(SEARCH("PEMADATAN",Input_Jalan!H42))),=Input_Jalan!K42*Asumsi!$B$5*(Input_Jalan!M42+Input_Jalan!N42+Input_Jalan!O42)*Asumsi!$B$9/Asumsi!$R$35,0)</f>
      </c>
      <c r="M42" s="0">
        <f>SUM(H42:L42)</f>
      </c>
      <c r="N42" s="0">
        <f>H42*Asumsi!$S$31+I42*Asumsi!$S$32+J42*Asumsi!$S$33+K42*Asumsi!$S$34+L42*Asumsi!$S$35</f>
      </c>
      <c r="O42" s="0">
        <f>IF(ISNUMBER(SEARCH("GRADING",Input_Jalan!H42)),"GRD ","")&amp;IF(ISNUMBER(SEARCH("RIPPING",Input_Jalan!H42)),"RIP ","")&amp;IF(ISNUMBER(SEARCH("SPREADING",Input_Jalan!H42)),"SPR ","")&amp;IF(ISNUMBER(SEARCH("COMPACTING",Input_Jalan!H42)),"CMP ","")&amp;IF(ISNUMBER(SEARCH("PEMADATAN",Input_Jalan!H42)),"CMP ","")&amp;IF(ISNUMBER(SEARCH("DRAINASE",Input_Jalan!H42)),"DRN ","")&amp;IF(ISNUMBER(SEARCH("TANAH DASAR",Input_Jalan!H42)),"SUB ","")&amp;IF(ISNUMBER(SEARCH("BASECOURSE",Input_Jalan!H42)),"BSC ","")&amp;IF(ISNUMBER(SEARCH("PATCHING",Input_Jalan!H42)),"PTH ","")&amp;IF(ISNUMBER(SEARCH("SEMENISASI",Input_Jalan!H42)),"SEM ","")</f>
      </c>
      <c r="P42" s="0">
        <f>IF(I42&gt;0,"AL-DZR ","")&amp;IF(H42&gt;0,"AL-GRD ","")&amp;IF(J42&gt;0,"AL-RLR ","")&amp;IF(K42&gt;0,"AL-EXC ","")&amp;IF(L42&gt;0,"AL-WTR","")</f>
      </c>
    </row>
    <row r="43">
      <c r="A43" s="0">
        <f>Input_Jalan!A43</f>
      </c>
      <c r="B43" s="0">
        <f>Input_Jalan!B43</f>
      </c>
      <c r="C43" s="0">
        <f>Input_Jalan!F43</f>
      </c>
      <c r="D43" s="0">
        <f>Input_Jalan!I43</f>
      </c>
      <c r="E43" s="0">
        <f>Input_Jalan!K43</f>
      </c>
      <c r="F43" s="0">
        <f>Input_Jalan!K43*Asumsi!$B$5*(Input_Jalan!M43+Input_Jalan!N43+Input_Jalan!O43)</f>
      </c>
      <c r="G43" s="0">
        <f>Input_Jalan!I43*Asumsi!$B$7*Asumsi!$B$8*Input_Jalan!L43</f>
      </c>
      <c r="H43" s="0">
        <f>IF(ISNUMBER(SEARCH("GRADING",Input_Jalan!H43)),Input_Jalan!K43/Analisa_Produktivitas!$E$2,0)</f>
      </c>
      <c r="I43" s="0">
        <f>IF(ISNUMBER(SEARCH("RIPPING",Input_Jalan!H43)),=Input_Jalan!K43*Asumsi!$B$5*(Input_Jalan!M43+Input_Jalan!N43+Input_Jalan!O43)/Analisa_Produktivitas!$E$3,0)+IF(ISNUMBER(SEARCH("SPREADING",Input_Jalan!H43)),=Input_Jalan!K43*Asumsi!$B$5*(Input_Jalan!M43+Input_Jalan!N43+Input_Jalan!O43)/Analisa_Produktivitas!$E$4,0)+IF(ISNUMBER(SEARCH("BASECOURSE",Input_Jalan!H43)),=Input_Jalan!K43*Asumsi!$B$5*(Input_Jalan!M43+Input_Jalan!N43+Input_Jalan!O43)/Analisa_Produktivitas!$E$8,0)</f>
      </c>
      <c r="J43" s="0">
        <f>IF(OR(ISNUMBER(SEARCH("COMPACTING",Input_Jalan!H43)),ISNUMBER(SEARCH("PEMADATAN",Input_Jalan!H43))),=Input_Jalan!K43*Asumsi!$B$5*(Input_Jalan!M43+Input_Jalan!N43+Input_Jalan!O43)/Analisa_Produktivitas!$E$5,0)</f>
      </c>
      <c r="K43" s="0">
        <f>IF(ISNUMBER(SEARCH("DRAINASE",Input_Jalan!H43)),=Input_Jalan!I43*Asumsi!$B$7*Asumsi!$B$8*Input_Jalan!L43/Analisa_Produktivitas!$E$6,0)+IF(ISNUMBER(SEARCH("TANAH DASAR",Input_Jalan!H43)),=Input_Jalan!K43*Asumsi!$B$5*(Input_Jalan!M43+Input_Jalan!N43+Input_Jalan!O43)/Analisa_Produktivitas!$E$7,0)+IF(ISNUMBER(SEARCH("PATCHING",Input_Jalan!H43)),=Input_Jalan!K43*Asumsi!$B$5*(Input_Jalan!M43+Input_Jalan!N43+Input_Jalan!O43)/Analisa_Produktivitas!$E$9,0)</f>
      </c>
      <c r="L43" s="0">
        <f>IF(OR(ISNUMBER(SEARCH("COMPACTING",Input_Jalan!H43)),ISNUMBER(SEARCH("PEMADATAN",Input_Jalan!H43))),=Input_Jalan!K43*Asumsi!$B$5*(Input_Jalan!M43+Input_Jalan!N43+Input_Jalan!O43)*Asumsi!$B$9/Asumsi!$R$35,0)</f>
      </c>
      <c r="M43" s="0">
        <f>SUM(H43:L43)</f>
      </c>
      <c r="N43" s="0">
        <f>H43*Asumsi!$S$31+I43*Asumsi!$S$32+J43*Asumsi!$S$33+K43*Asumsi!$S$34+L43*Asumsi!$S$35</f>
      </c>
      <c r="O43" s="0">
        <f>IF(ISNUMBER(SEARCH("GRADING",Input_Jalan!H43)),"GRD ","")&amp;IF(ISNUMBER(SEARCH("RIPPING",Input_Jalan!H43)),"RIP ","")&amp;IF(ISNUMBER(SEARCH("SPREADING",Input_Jalan!H43)),"SPR ","")&amp;IF(ISNUMBER(SEARCH("COMPACTING",Input_Jalan!H43)),"CMP ","")&amp;IF(ISNUMBER(SEARCH("PEMADATAN",Input_Jalan!H43)),"CMP ","")&amp;IF(ISNUMBER(SEARCH("DRAINASE",Input_Jalan!H43)),"DRN ","")&amp;IF(ISNUMBER(SEARCH("TANAH DASAR",Input_Jalan!H43)),"SUB ","")&amp;IF(ISNUMBER(SEARCH("BASECOURSE",Input_Jalan!H43)),"BSC ","")&amp;IF(ISNUMBER(SEARCH("PATCHING",Input_Jalan!H43)),"PTH ","")&amp;IF(ISNUMBER(SEARCH("SEMENISASI",Input_Jalan!H43)),"SEM ","")</f>
      </c>
      <c r="P43" s="0">
        <f>IF(I43&gt;0,"AL-DZR ","")&amp;IF(H43&gt;0,"AL-GRD ","")&amp;IF(J43&gt;0,"AL-RLR ","")&amp;IF(K43&gt;0,"AL-EXC ","")&amp;IF(L43&gt;0,"AL-WTR","")</f>
      </c>
    </row>
    <row r="44">
      <c r="A44" s="0">
        <f>Input_Jalan!A44</f>
      </c>
      <c r="B44" s="0">
        <f>Input_Jalan!B44</f>
      </c>
      <c r="C44" s="0">
        <f>Input_Jalan!F44</f>
      </c>
      <c r="D44" s="0">
        <f>Input_Jalan!I44</f>
      </c>
      <c r="E44" s="0">
        <f>Input_Jalan!K44</f>
      </c>
      <c r="F44" s="0">
        <f>Input_Jalan!K44*Asumsi!$B$5*(Input_Jalan!M44+Input_Jalan!N44+Input_Jalan!O44)</f>
      </c>
      <c r="G44" s="0">
        <f>Input_Jalan!I44*Asumsi!$B$7*Asumsi!$B$8*Input_Jalan!L44</f>
      </c>
      <c r="H44" s="0">
        <f>IF(ISNUMBER(SEARCH("GRADING",Input_Jalan!H44)),Input_Jalan!K44/Analisa_Produktivitas!$E$2,0)</f>
      </c>
      <c r="I44" s="0">
        <f>IF(ISNUMBER(SEARCH("RIPPING",Input_Jalan!H44)),=Input_Jalan!K44*Asumsi!$B$5*(Input_Jalan!M44+Input_Jalan!N44+Input_Jalan!O44)/Analisa_Produktivitas!$E$3,0)+IF(ISNUMBER(SEARCH("SPREADING",Input_Jalan!H44)),=Input_Jalan!K44*Asumsi!$B$5*(Input_Jalan!M44+Input_Jalan!N44+Input_Jalan!O44)/Analisa_Produktivitas!$E$4,0)+IF(ISNUMBER(SEARCH("BASECOURSE",Input_Jalan!H44)),=Input_Jalan!K44*Asumsi!$B$5*(Input_Jalan!M44+Input_Jalan!N44+Input_Jalan!O44)/Analisa_Produktivitas!$E$8,0)</f>
      </c>
      <c r="J44" s="0">
        <f>IF(OR(ISNUMBER(SEARCH("COMPACTING",Input_Jalan!H44)),ISNUMBER(SEARCH("PEMADATAN",Input_Jalan!H44))),=Input_Jalan!K44*Asumsi!$B$5*(Input_Jalan!M44+Input_Jalan!N44+Input_Jalan!O44)/Analisa_Produktivitas!$E$5,0)</f>
      </c>
      <c r="K44" s="0">
        <f>IF(ISNUMBER(SEARCH("DRAINASE",Input_Jalan!H44)),=Input_Jalan!I44*Asumsi!$B$7*Asumsi!$B$8*Input_Jalan!L44/Analisa_Produktivitas!$E$6,0)+IF(ISNUMBER(SEARCH("TANAH DASAR",Input_Jalan!H44)),=Input_Jalan!K44*Asumsi!$B$5*(Input_Jalan!M44+Input_Jalan!N44+Input_Jalan!O44)/Analisa_Produktivitas!$E$7,0)+IF(ISNUMBER(SEARCH("PATCHING",Input_Jalan!H44)),=Input_Jalan!K44*Asumsi!$B$5*(Input_Jalan!M44+Input_Jalan!N44+Input_Jalan!O44)/Analisa_Produktivitas!$E$9,0)</f>
      </c>
      <c r="L44" s="0">
        <f>IF(OR(ISNUMBER(SEARCH("COMPACTING",Input_Jalan!H44)),ISNUMBER(SEARCH("PEMADATAN",Input_Jalan!H44))),=Input_Jalan!K44*Asumsi!$B$5*(Input_Jalan!M44+Input_Jalan!N44+Input_Jalan!O44)*Asumsi!$B$9/Asumsi!$R$35,0)</f>
      </c>
      <c r="M44" s="0">
        <f>SUM(H44:L44)</f>
      </c>
      <c r="N44" s="0">
        <f>H44*Asumsi!$S$31+I44*Asumsi!$S$32+J44*Asumsi!$S$33+K44*Asumsi!$S$34+L44*Asumsi!$S$35</f>
      </c>
      <c r="O44" s="0">
        <f>IF(ISNUMBER(SEARCH("GRADING",Input_Jalan!H44)),"GRD ","")&amp;IF(ISNUMBER(SEARCH("RIPPING",Input_Jalan!H44)),"RIP ","")&amp;IF(ISNUMBER(SEARCH("SPREADING",Input_Jalan!H44)),"SPR ","")&amp;IF(ISNUMBER(SEARCH("COMPACTING",Input_Jalan!H44)),"CMP ","")&amp;IF(ISNUMBER(SEARCH("PEMADATAN",Input_Jalan!H44)),"CMP ","")&amp;IF(ISNUMBER(SEARCH("DRAINASE",Input_Jalan!H44)),"DRN ","")&amp;IF(ISNUMBER(SEARCH("TANAH DASAR",Input_Jalan!H44)),"SUB ","")&amp;IF(ISNUMBER(SEARCH("BASECOURSE",Input_Jalan!H44)),"BSC ","")&amp;IF(ISNUMBER(SEARCH("PATCHING",Input_Jalan!H44)),"PTH ","")&amp;IF(ISNUMBER(SEARCH("SEMENISASI",Input_Jalan!H44)),"SEM ","")</f>
      </c>
      <c r="P44" s="0">
        <f>IF(I44&gt;0,"AL-DZR ","")&amp;IF(H44&gt;0,"AL-GRD ","")&amp;IF(J44&gt;0,"AL-RLR ","")&amp;IF(K44&gt;0,"AL-EXC ","")&amp;IF(L44&gt;0,"AL-WTR","")</f>
      </c>
    </row>
    <row r="45">
      <c r="A45" s="0">
        <f>Input_Jalan!A45</f>
      </c>
      <c r="B45" s="0">
        <f>Input_Jalan!B45</f>
      </c>
      <c r="C45" s="0">
        <f>Input_Jalan!F45</f>
      </c>
      <c r="D45" s="0">
        <f>Input_Jalan!I45</f>
      </c>
      <c r="E45" s="0">
        <f>Input_Jalan!K45</f>
      </c>
      <c r="F45" s="0">
        <f>Input_Jalan!K45*Asumsi!$B$5*(Input_Jalan!M45+Input_Jalan!N45+Input_Jalan!O45)</f>
      </c>
      <c r="G45" s="0">
        <f>Input_Jalan!I45*Asumsi!$B$7*Asumsi!$B$8*Input_Jalan!L45</f>
      </c>
      <c r="H45" s="0">
        <f>IF(ISNUMBER(SEARCH("GRADING",Input_Jalan!H45)),Input_Jalan!K45/Analisa_Produktivitas!$E$2,0)</f>
      </c>
      <c r="I45" s="0">
        <f>IF(ISNUMBER(SEARCH("RIPPING",Input_Jalan!H45)),=Input_Jalan!K45*Asumsi!$B$5*(Input_Jalan!M45+Input_Jalan!N45+Input_Jalan!O45)/Analisa_Produktivitas!$E$3,0)+IF(ISNUMBER(SEARCH("SPREADING",Input_Jalan!H45)),=Input_Jalan!K45*Asumsi!$B$5*(Input_Jalan!M45+Input_Jalan!N45+Input_Jalan!O45)/Analisa_Produktivitas!$E$4,0)+IF(ISNUMBER(SEARCH("BASECOURSE",Input_Jalan!H45)),=Input_Jalan!K45*Asumsi!$B$5*(Input_Jalan!M45+Input_Jalan!N45+Input_Jalan!O45)/Analisa_Produktivitas!$E$8,0)</f>
      </c>
      <c r="J45" s="0">
        <f>IF(OR(ISNUMBER(SEARCH("COMPACTING",Input_Jalan!H45)),ISNUMBER(SEARCH("PEMADATAN",Input_Jalan!H45))),=Input_Jalan!K45*Asumsi!$B$5*(Input_Jalan!M45+Input_Jalan!N45+Input_Jalan!O45)/Analisa_Produktivitas!$E$5,0)</f>
      </c>
      <c r="K45" s="0">
        <f>IF(ISNUMBER(SEARCH("DRAINASE",Input_Jalan!H45)),=Input_Jalan!I45*Asumsi!$B$7*Asumsi!$B$8*Input_Jalan!L45/Analisa_Produktivitas!$E$6,0)+IF(ISNUMBER(SEARCH("TANAH DASAR",Input_Jalan!H45)),=Input_Jalan!K45*Asumsi!$B$5*(Input_Jalan!M45+Input_Jalan!N45+Input_Jalan!O45)/Analisa_Produktivitas!$E$7,0)+IF(ISNUMBER(SEARCH("PATCHING",Input_Jalan!H45)),=Input_Jalan!K45*Asumsi!$B$5*(Input_Jalan!M45+Input_Jalan!N45+Input_Jalan!O45)/Analisa_Produktivitas!$E$9,0)</f>
      </c>
      <c r="L45" s="0">
        <f>IF(OR(ISNUMBER(SEARCH("COMPACTING",Input_Jalan!H45)),ISNUMBER(SEARCH("PEMADATAN",Input_Jalan!H45))),=Input_Jalan!K45*Asumsi!$B$5*(Input_Jalan!M45+Input_Jalan!N45+Input_Jalan!O45)*Asumsi!$B$9/Asumsi!$R$35,0)</f>
      </c>
      <c r="M45" s="0">
        <f>SUM(H45:L45)</f>
      </c>
      <c r="N45" s="0">
        <f>H45*Asumsi!$S$31+I45*Asumsi!$S$32+J45*Asumsi!$S$33+K45*Asumsi!$S$34+L45*Asumsi!$S$35</f>
      </c>
      <c r="O45" s="0">
        <f>IF(ISNUMBER(SEARCH("GRADING",Input_Jalan!H45)),"GRD ","")&amp;IF(ISNUMBER(SEARCH("RIPPING",Input_Jalan!H45)),"RIP ","")&amp;IF(ISNUMBER(SEARCH("SPREADING",Input_Jalan!H45)),"SPR ","")&amp;IF(ISNUMBER(SEARCH("COMPACTING",Input_Jalan!H45)),"CMP ","")&amp;IF(ISNUMBER(SEARCH("PEMADATAN",Input_Jalan!H45)),"CMP ","")&amp;IF(ISNUMBER(SEARCH("DRAINASE",Input_Jalan!H45)),"DRN ","")&amp;IF(ISNUMBER(SEARCH("TANAH DASAR",Input_Jalan!H45)),"SUB ","")&amp;IF(ISNUMBER(SEARCH("BASECOURSE",Input_Jalan!H45)),"BSC ","")&amp;IF(ISNUMBER(SEARCH("PATCHING",Input_Jalan!H45)),"PTH ","")&amp;IF(ISNUMBER(SEARCH("SEMENISASI",Input_Jalan!H45)),"SEM ","")</f>
      </c>
      <c r="P45" s="0">
        <f>IF(I45&gt;0,"AL-DZR ","")&amp;IF(H45&gt;0,"AL-GRD ","")&amp;IF(J45&gt;0,"AL-RLR ","")&amp;IF(K45&gt;0,"AL-EXC ","")&amp;IF(L45&gt;0,"AL-WTR","")</f>
      </c>
    </row>
    <row r="46">
      <c r="A46" s="0">
        <f>Input_Jalan!A46</f>
      </c>
      <c r="B46" s="0">
        <f>Input_Jalan!B46</f>
      </c>
      <c r="C46" s="0">
        <f>Input_Jalan!F46</f>
      </c>
      <c r="D46" s="0">
        <f>Input_Jalan!I46</f>
      </c>
      <c r="E46" s="0">
        <f>Input_Jalan!K46</f>
      </c>
      <c r="F46" s="0">
        <f>Input_Jalan!K46*Asumsi!$B$5*(Input_Jalan!M46+Input_Jalan!N46+Input_Jalan!O46)</f>
      </c>
      <c r="G46" s="0">
        <f>Input_Jalan!I46*Asumsi!$B$7*Asumsi!$B$8*Input_Jalan!L46</f>
      </c>
      <c r="H46" s="0">
        <f>IF(ISNUMBER(SEARCH("GRADING",Input_Jalan!H46)),Input_Jalan!K46/Analisa_Produktivitas!$E$2,0)</f>
      </c>
      <c r="I46" s="0">
        <f>IF(ISNUMBER(SEARCH("RIPPING",Input_Jalan!H46)),=Input_Jalan!K46*Asumsi!$B$5*(Input_Jalan!M46+Input_Jalan!N46+Input_Jalan!O46)/Analisa_Produktivitas!$E$3,0)+IF(ISNUMBER(SEARCH("SPREADING",Input_Jalan!H46)),=Input_Jalan!K46*Asumsi!$B$5*(Input_Jalan!M46+Input_Jalan!N46+Input_Jalan!O46)/Analisa_Produktivitas!$E$4,0)+IF(ISNUMBER(SEARCH("BASECOURSE",Input_Jalan!H46)),=Input_Jalan!K46*Asumsi!$B$5*(Input_Jalan!M46+Input_Jalan!N46+Input_Jalan!O46)/Analisa_Produktivitas!$E$8,0)</f>
      </c>
      <c r="J46" s="0">
        <f>IF(OR(ISNUMBER(SEARCH("COMPACTING",Input_Jalan!H46)),ISNUMBER(SEARCH("PEMADATAN",Input_Jalan!H46))),=Input_Jalan!K46*Asumsi!$B$5*(Input_Jalan!M46+Input_Jalan!N46+Input_Jalan!O46)/Analisa_Produktivitas!$E$5,0)</f>
      </c>
      <c r="K46" s="0">
        <f>IF(ISNUMBER(SEARCH("DRAINASE",Input_Jalan!H46)),=Input_Jalan!I46*Asumsi!$B$7*Asumsi!$B$8*Input_Jalan!L46/Analisa_Produktivitas!$E$6,0)+IF(ISNUMBER(SEARCH("TANAH DASAR",Input_Jalan!H46)),=Input_Jalan!K46*Asumsi!$B$5*(Input_Jalan!M46+Input_Jalan!N46+Input_Jalan!O46)/Analisa_Produktivitas!$E$7,0)+IF(ISNUMBER(SEARCH("PATCHING",Input_Jalan!H46)),=Input_Jalan!K46*Asumsi!$B$5*(Input_Jalan!M46+Input_Jalan!N46+Input_Jalan!O46)/Analisa_Produktivitas!$E$9,0)</f>
      </c>
      <c r="L46" s="0">
        <f>IF(OR(ISNUMBER(SEARCH("COMPACTING",Input_Jalan!H46)),ISNUMBER(SEARCH("PEMADATAN",Input_Jalan!H46))),=Input_Jalan!K46*Asumsi!$B$5*(Input_Jalan!M46+Input_Jalan!N46+Input_Jalan!O46)*Asumsi!$B$9/Asumsi!$R$35,0)</f>
      </c>
      <c r="M46" s="0">
        <f>SUM(H46:L46)</f>
      </c>
      <c r="N46" s="0">
        <f>H46*Asumsi!$S$31+I46*Asumsi!$S$32+J46*Asumsi!$S$33+K46*Asumsi!$S$34+L46*Asumsi!$S$35</f>
      </c>
      <c r="O46" s="0">
        <f>IF(ISNUMBER(SEARCH("GRADING",Input_Jalan!H46)),"GRD ","")&amp;IF(ISNUMBER(SEARCH("RIPPING",Input_Jalan!H46)),"RIP ","")&amp;IF(ISNUMBER(SEARCH("SPREADING",Input_Jalan!H46)),"SPR ","")&amp;IF(ISNUMBER(SEARCH("COMPACTING",Input_Jalan!H46)),"CMP ","")&amp;IF(ISNUMBER(SEARCH("PEMADATAN",Input_Jalan!H46)),"CMP ","")&amp;IF(ISNUMBER(SEARCH("DRAINASE",Input_Jalan!H46)),"DRN ","")&amp;IF(ISNUMBER(SEARCH("TANAH DASAR",Input_Jalan!H46)),"SUB ","")&amp;IF(ISNUMBER(SEARCH("BASECOURSE",Input_Jalan!H46)),"BSC ","")&amp;IF(ISNUMBER(SEARCH("PATCHING",Input_Jalan!H46)),"PTH ","")&amp;IF(ISNUMBER(SEARCH("SEMENISASI",Input_Jalan!H46)),"SEM ","")</f>
      </c>
      <c r="P46" s="0">
        <f>IF(I46&gt;0,"AL-DZR ","")&amp;IF(H46&gt;0,"AL-GRD ","")&amp;IF(J46&gt;0,"AL-RLR ","")&amp;IF(K46&gt;0,"AL-EXC ","")&amp;IF(L46&gt;0,"AL-WTR","")</f>
      </c>
    </row>
    <row r="47">
      <c r="A47" s="0">
        <f>Input_Jalan!A47</f>
      </c>
      <c r="B47" s="0">
        <f>Input_Jalan!B47</f>
      </c>
      <c r="C47" s="0">
        <f>Input_Jalan!F47</f>
      </c>
      <c r="D47" s="0">
        <f>Input_Jalan!I47</f>
      </c>
      <c r="E47" s="0">
        <f>Input_Jalan!K47</f>
      </c>
      <c r="F47" s="0">
        <f>Input_Jalan!K47*Asumsi!$B$5*(Input_Jalan!M47+Input_Jalan!N47+Input_Jalan!O47)</f>
      </c>
      <c r="G47" s="0">
        <f>Input_Jalan!I47*Asumsi!$B$7*Asumsi!$B$8*Input_Jalan!L47</f>
      </c>
      <c r="H47" s="0">
        <f>IF(ISNUMBER(SEARCH("GRADING",Input_Jalan!H47)),Input_Jalan!K47/Analisa_Produktivitas!$E$2,0)</f>
      </c>
      <c r="I47" s="0">
        <f>IF(ISNUMBER(SEARCH("RIPPING",Input_Jalan!H47)),=Input_Jalan!K47*Asumsi!$B$5*(Input_Jalan!M47+Input_Jalan!N47+Input_Jalan!O47)/Analisa_Produktivitas!$E$3,0)+IF(ISNUMBER(SEARCH("SPREADING",Input_Jalan!H47)),=Input_Jalan!K47*Asumsi!$B$5*(Input_Jalan!M47+Input_Jalan!N47+Input_Jalan!O47)/Analisa_Produktivitas!$E$4,0)+IF(ISNUMBER(SEARCH("BASECOURSE",Input_Jalan!H47)),=Input_Jalan!K47*Asumsi!$B$5*(Input_Jalan!M47+Input_Jalan!N47+Input_Jalan!O47)/Analisa_Produktivitas!$E$8,0)</f>
      </c>
      <c r="J47" s="0">
        <f>IF(OR(ISNUMBER(SEARCH("COMPACTING",Input_Jalan!H47)),ISNUMBER(SEARCH("PEMADATAN",Input_Jalan!H47))),=Input_Jalan!K47*Asumsi!$B$5*(Input_Jalan!M47+Input_Jalan!N47+Input_Jalan!O47)/Analisa_Produktivitas!$E$5,0)</f>
      </c>
      <c r="K47" s="0">
        <f>IF(ISNUMBER(SEARCH("DRAINASE",Input_Jalan!H47)),=Input_Jalan!I47*Asumsi!$B$7*Asumsi!$B$8*Input_Jalan!L47/Analisa_Produktivitas!$E$6,0)+IF(ISNUMBER(SEARCH("TANAH DASAR",Input_Jalan!H47)),=Input_Jalan!K47*Asumsi!$B$5*(Input_Jalan!M47+Input_Jalan!N47+Input_Jalan!O47)/Analisa_Produktivitas!$E$7,0)+IF(ISNUMBER(SEARCH("PATCHING",Input_Jalan!H47)),=Input_Jalan!K47*Asumsi!$B$5*(Input_Jalan!M47+Input_Jalan!N47+Input_Jalan!O47)/Analisa_Produktivitas!$E$9,0)</f>
      </c>
      <c r="L47" s="0">
        <f>IF(OR(ISNUMBER(SEARCH("COMPACTING",Input_Jalan!H47)),ISNUMBER(SEARCH("PEMADATAN",Input_Jalan!H47))),=Input_Jalan!K47*Asumsi!$B$5*(Input_Jalan!M47+Input_Jalan!N47+Input_Jalan!O47)*Asumsi!$B$9/Asumsi!$R$35,0)</f>
      </c>
      <c r="M47" s="0">
        <f>SUM(H47:L47)</f>
      </c>
      <c r="N47" s="0">
        <f>H47*Asumsi!$S$31+I47*Asumsi!$S$32+J47*Asumsi!$S$33+K47*Asumsi!$S$34+L47*Asumsi!$S$35</f>
      </c>
      <c r="O47" s="0">
        <f>IF(ISNUMBER(SEARCH("GRADING",Input_Jalan!H47)),"GRD ","")&amp;IF(ISNUMBER(SEARCH("RIPPING",Input_Jalan!H47)),"RIP ","")&amp;IF(ISNUMBER(SEARCH("SPREADING",Input_Jalan!H47)),"SPR ","")&amp;IF(ISNUMBER(SEARCH("COMPACTING",Input_Jalan!H47)),"CMP ","")&amp;IF(ISNUMBER(SEARCH("PEMADATAN",Input_Jalan!H47)),"CMP ","")&amp;IF(ISNUMBER(SEARCH("DRAINASE",Input_Jalan!H47)),"DRN ","")&amp;IF(ISNUMBER(SEARCH("TANAH DASAR",Input_Jalan!H47)),"SUB ","")&amp;IF(ISNUMBER(SEARCH("BASECOURSE",Input_Jalan!H47)),"BSC ","")&amp;IF(ISNUMBER(SEARCH("PATCHING",Input_Jalan!H47)),"PTH ","")&amp;IF(ISNUMBER(SEARCH("SEMENISASI",Input_Jalan!H47)),"SEM ","")</f>
      </c>
      <c r="P47" s="0">
        <f>IF(I47&gt;0,"AL-DZR ","")&amp;IF(H47&gt;0,"AL-GRD ","")&amp;IF(J47&gt;0,"AL-RLR ","")&amp;IF(K47&gt;0,"AL-EXC ","")&amp;IF(L47&gt;0,"AL-WTR","")</f>
      </c>
    </row>
    <row r="48">
      <c r="A48" s="0">
        <f>Input_Jalan!A48</f>
      </c>
      <c r="B48" s="0">
        <f>Input_Jalan!B48</f>
      </c>
      <c r="C48" s="0">
        <f>Input_Jalan!F48</f>
      </c>
      <c r="D48" s="0">
        <f>Input_Jalan!I48</f>
      </c>
      <c r="E48" s="0">
        <f>Input_Jalan!K48</f>
      </c>
      <c r="F48" s="0">
        <f>Input_Jalan!K48*Asumsi!$B$5*(Input_Jalan!M48+Input_Jalan!N48+Input_Jalan!O48)</f>
      </c>
      <c r="G48" s="0">
        <f>Input_Jalan!I48*Asumsi!$B$7*Asumsi!$B$8*Input_Jalan!L48</f>
      </c>
      <c r="H48" s="0">
        <f>IF(ISNUMBER(SEARCH("GRADING",Input_Jalan!H48)),Input_Jalan!K48/Analisa_Produktivitas!$E$2,0)</f>
      </c>
      <c r="I48" s="0">
        <f>IF(ISNUMBER(SEARCH("RIPPING",Input_Jalan!H48)),=Input_Jalan!K48*Asumsi!$B$5*(Input_Jalan!M48+Input_Jalan!N48+Input_Jalan!O48)/Analisa_Produktivitas!$E$3,0)+IF(ISNUMBER(SEARCH("SPREADING",Input_Jalan!H48)),=Input_Jalan!K48*Asumsi!$B$5*(Input_Jalan!M48+Input_Jalan!N48+Input_Jalan!O48)/Analisa_Produktivitas!$E$4,0)+IF(ISNUMBER(SEARCH("BASECOURSE",Input_Jalan!H48)),=Input_Jalan!K48*Asumsi!$B$5*(Input_Jalan!M48+Input_Jalan!N48+Input_Jalan!O48)/Analisa_Produktivitas!$E$8,0)</f>
      </c>
      <c r="J48" s="0">
        <f>IF(OR(ISNUMBER(SEARCH("COMPACTING",Input_Jalan!H48)),ISNUMBER(SEARCH("PEMADATAN",Input_Jalan!H48))),=Input_Jalan!K48*Asumsi!$B$5*(Input_Jalan!M48+Input_Jalan!N48+Input_Jalan!O48)/Analisa_Produktivitas!$E$5,0)</f>
      </c>
      <c r="K48" s="0">
        <f>IF(ISNUMBER(SEARCH("DRAINASE",Input_Jalan!H48)),=Input_Jalan!I48*Asumsi!$B$7*Asumsi!$B$8*Input_Jalan!L48/Analisa_Produktivitas!$E$6,0)+IF(ISNUMBER(SEARCH("TANAH DASAR",Input_Jalan!H48)),=Input_Jalan!K48*Asumsi!$B$5*(Input_Jalan!M48+Input_Jalan!N48+Input_Jalan!O48)/Analisa_Produktivitas!$E$7,0)+IF(ISNUMBER(SEARCH("PATCHING",Input_Jalan!H48)),=Input_Jalan!K48*Asumsi!$B$5*(Input_Jalan!M48+Input_Jalan!N48+Input_Jalan!O48)/Analisa_Produktivitas!$E$9,0)</f>
      </c>
      <c r="L48" s="0">
        <f>IF(OR(ISNUMBER(SEARCH("COMPACTING",Input_Jalan!H48)),ISNUMBER(SEARCH("PEMADATAN",Input_Jalan!H48))),=Input_Jalan!K48*Asumsi!$B$5*(Input_Jalan!M48+Input_Jalan!N48+Input_Jalan!O48)*Asumsi!$B$9/Asumsi!$R$35,0)</f>
      </c>
      <c r="M48" s="0">
        <f>SUM(H48:L48)</f>
      </c>
      <c r="N48" s="0">
        <f>H48*Asumsi!$S$31+I48*Asumsi!$S$32+J48*Asumsi!$S$33+K48*Asumsi!$S$34+L48*Asumsi!$S$35</f>
      </c>
      <c r="O48" s="0">
        <f>IF(ISNUMBER(SEARCH("GRADING",Input_Jalan!H48)),"GRD ","")&amp;IF(ISNUMBER(SEARCH("RIPPING",Input_Jalan!H48)),"RIP ","")&amp;IF(ISNUMBER(SEARCH("SPREADING",Input_Jalan!H48)),"SPR ","")&amp;IF(ISNUMBER(SEARCH("COMPACTING",Input_Jalan!H48)),"CMP ","")&amp;IF(ISNUMBER(SEARCH("PEMADATAN",Input_Jalan!H48)),"CMP ","")&amp;IF(ISNUMBER(SEARCH("DRAINASE",Input_Jalan!H48)),"DRN ","")&amp;IF(ISNUMBER(SEARCH("TANAH DASAR",Input_Jalan!H48)),"SUB ","")&amp;IF(ISNUMBER(SEARCH("BASECOURSE",Input_Jalan!H48)),"BSC ","")&amp;IF(ISNUMBER(SEARCH("PATCHING",Input_Jalan!H48)),"PTH ","")&amp;IF(ISNUMBER(SEARCH("SEMENISASI",Input_Jalan!H48)),"SEM ","")</f>
      </c>
      <c r="P48" s="0">
        <f>IF(I48&gt;0,"AL-DZR ","")&amp;IF(H48&gt;0,"AL-GRD ","")&amp;IF(J48&gt;0,"AL-RLR ","")&amp;IF(K48&gt;0,"AL-EXC ","")&amp;IF(L48&gt;0,"AL-WTR","")</f>
      </c>
    </row>
    <row r="49">
      <c r="A49" s="0">
        <f>Input_Jalan!A49</f>
      </c>
      <c r="B49" s="0">
        <f>Input_Jalan!B49</f>
      </c>
      <c r="C49" s="0">
        <f>Input_Jalan!F49</f>
      </c>
      <c r="D49" s="0">
        <f>Input_Jalan!I49</f>
      </c>
      <c r="E49" s="0">
        <f>Input_Jalan!K49</f>
      </c>
      <c r="F49" s="0">
        <f>Input_Jalan!K49*Asumsi!$B$5*(Input_Jalan!M49+Input_Jalan!N49+Input_Jalan!O49)</f>
      </c>
      <c r="G49" s="0">
        <f>Input_Jalan!I49*Asumsi!$B$7*Asumsi!$B$8*Input_Jalan!L49</f>
      </c>
      <c r="H49" s="0">
        <f>IF(ISNUMBER(SEARCH("GRADING",Input_Jalan!H49)),Input_Jalan!K49/Analisa_Produktivitas!$E$2,0)</f>
      </c>
      <c r="I49" s="0">
        <f>IF(ISNUMBER(SEARCH("RIPPING",Input_Jalan!H49)),=Input_Jalan!K49*Asumsi!$B$5*(Input_Jalan!M49+Input_Jalan!N49+Input_Jalan!O49)/Analisa_Produktivitas!$E$3,0)+IF(ISNUMBER(SEARCH("SPREADING",Input_Jalan!H49)),=Input_Jalan!K49*Asumsi!$B$5*(Input_Jalan!M49+Input_Jalan!N49+Input_Jalan!O49)/Analisa_Produktivitas!$E$4,0)+IF(ISNUMBER(SEARCH("BASECOURSE",Input_Jalan!H49)),=Input_Jalan!K49*Asumsi!$B$5*(Input_Jalan!M49+Input_Jalan!N49+Input_Jalan!O49)/Analisa_Produktivitas!$E$8,0)</f>
      </c>
      <c r="J49" s="0">
        <f>IF(OR(ISNUMBER(SEARCH("COMPACTING",Input_Jalan!H49)),ISNUMBER(SEARCH("PEMADATAN",Input_Jalan!H49))),=Input_Jalan!K49*Asumsi!$B$5*(Input_Jalan!M49+Input_Jalan!N49+Input_Jalan!O49)/Analisa_Produktivitas!$E$5,0)</f>
      </c>
      <c r="K49" s="0">
        <f>IF(ISNUMBER(SEARCH("DRAINASE",Input_Jalan!H49)),=Input_Jalan!I49*Asumsi!$B$7*Asumsi!$B$8*Input_Jalan!L49/Analisa_Produktivitas!$E$6,0)+IF(ISNUMBER(SEARCH("TANAH DASAR",Input_Jalan!H49)),=Input_Jalan!K49*Asumsi!$B$5*(Input_Jalan!M49+Input_Jalan!N49+Input_Jalan!O49)/Analisa_Produktivitas!$E$7,0)+IF(ISNUMBER(SEARCH("PATCHING",Input_Jalan!H49)),=Input_Jalan!K49*Asumsi!$B$5*(Input_Jalan!M49+Input_Jalan!N49+Input_Jalan!O49)/Analisa_Produktivitas!$E$9,0)</f>
      </c>
      <c r="L49" s="0">
        <f>IF(OR(ISNUMBER(SEARCH("COMPACTING",Input_Jalan!H49)),ISNUMBER(SEARCH("PEMADATAN",Input_Jalan!H49))),=Input_Jalan!K49*Asumsi!$B$5*(Input_Jalan!M49+Input_Jalan!N49+Input_Jalan!O49)*Asumsi!$B$9/Asumsi!$R$35,0)</f>
      </c>
      <c r="M49" s="0">
        <f>SUM(H49:L49)</f>
      </c>
      <c r="N49" s="0">
        <f>H49*Asumsi!$S$31+I49*Asumsi!$S$32+J49*Asumsi!$S$33+K49*Asumsi!$S$34+L49*Asumsi!$S$35</f>
      </c>
      <c r="O49" s="0">
        <f>IF(ISNUMBER(SEARCH("GRADING",Input_Jalan!H49)),"GRD ","")&amp;IF(ISNUMBER(SEARCH("RIPPING",Input_Jalan!H49)),"RIP ","")&amp;IF(ISNUMBER(SEARCH("SPREADING",Input_Jalan!H49)),"SPR ","")&amp;IF(ISNUMBER(SEARCH("COMPACTING",Input_Jalan!H49)),"CMP ","")&amp;IF(ISNUMBER(SEARCH("PEMADATAN",Input_Jalan!H49)),"CMP ","")&amp;IF(ISNUMBER(SEARCH("DRAINASE",Input_Jalan!H49)),"DRN ","")&amp;IF(ISNUMBER(SEARCH("TANAH DASAR",Input_Jalan!H49)),"SUB ","")&amp;IF(ISNUMBER(SEARCH("BASECOURSE",Input_Jalan!H49)),"BSC ","")&amp;IF(ISNUMBER(SEARCH("PATCHING",Input_Jalan!H49)),"PTH ","")&amp;IF(ISNUMBER(SEARCH("SEMENISASI",Input_Jalan!H49)),"SEM ","")</f>
      </c>
      <c r="P49" s="0">
        <f>IF(I49&gt;0,"AL-DZR ","")&amp;IF(H49&gt;0,"AL-GRD ","")&amp;IF(J49&gt;0,"AL-RLR ","")&amp;IF(K49&gt;0,"AL-EXC ","")&amp;IF(L49&gt;0,"AL-WTR","")</f>
      </c>
    </row>
    <row r="50">
      <c r="A50" s="0">
        <f>Input_Jalan!A50</f>
      </c>
      <c r="B50" s="0">
        <f>Input_Jalan!B50</f>
      </c>
      <c r="C50" s="0">
        <f>Input_Jalan!F50</f>
      </c>
      <c r="D50" s="0">
        <f>Input_Jalan!I50</f>
      </c>
      <c r="E50" s="0">
        <f>Input_Jalan!K50</f>
      </c>
      <c r="F50" s="0">
        <f>Input_Jalan!K50*Asumsi!$B$5*(Input_Jalan!M50+Input_Jalan!N50+Input_Jalan!O50)</f>
      </c>
      <c r="G50" s="0">
        <f>Input_Jalan!I50*Asumsi!$B$7*Asumsi!$B$8*Input_Jalan!L50</f>
      </c>
      <c r="H50" s="0">
        <f>IF(ISNUMBER(SEARCH("GRADING",Input_Jalan!H50)),Input_Jalan!K50/Analisa_Produktivitas!$E$2,0)</f>
      </c>
      <c r="I50" s="0">
        <f>IF(ISNUMBER(SEARCH("RIPPING",Input_Jalan!H50)),=Input_Jalan!K50*Asumsi!$B$5*(Input_Jalan!M50+Input_Jalan!N50+Input_Jalan!O50)/Analisa_Produktivitas!$E$3,0)+IF(ISNUMBER(SEARCH("SPREADING",Input_Jalan!H50)),=Input_Jalan!K50*Asumsi!$B$5*(Input_Jalan!M50+Input_Jalan!N50+Input_Jalan!O50)/Analisa_Produktivitas!$E$4,0)+IF(ISNUMBER(SEARCH("BASECOURSE",Input_Jalan!H50)),=Input_Jalan!K50*Asumsi!$B$5*(Input_Jalan!M50+Input_Jalan!N50+Input_Jalan!O50)/Analisa_Produktivitas!$E$8,0)</f>
      </c>
      <c r="J50" s="0">
        <f>IF(OR(ISNUMBER(SEARCH("COMPACTING",Input_Jalan!H50)),ISNUMBER(SEARCH("PEMADATAN",Input_Jalan!H50))),=Input_Jalan!K50*Asumsi!$B$5*(Input_Jalan!M50+Input_Jalan!N50+Input_Jalan!O50)/Analisa_Produktivitas!$E$5,0)</f>
      </c>
      <c r="K50" s="0">
        <f>IF(ISNUMBER(SEARCH("DRAINASE",Input_Jalan!H50)),=Input_Jalan!I50*Asumsi!$B$7*Asumsi!$B$8*Input_Jalan!L50/Analisa_Produktivitas!$E$6,0)+IF(ISNUMBER(SEARCH("TANAH DASAR",Input_Jalan!H50)),=Input_Jalan!K50*Asumsi!$B$5*(Input_Jalan!M50+Input_Jalan!N50+Input_Jalan!O50)/Analisa_Produktivitas!$E$7,0)+IF(ISNUMBER(SEARCH("PATCHING",Input_Jalan!H50)),=Input_Jalan!K50*Asumsi!$B$5*(Input_Jalan!M50+Input_Jalan!N50+Input_Jalan!O50)/Analisa_Produktivitas!$E$9,0)</f>
      </c>
      <c r="L50" s="0">
        <f>IF(OR(ISNUMBER(SEARCH("COMPACTING",Input_Jalan!H50)),ISNUMBER(SEARCH("PEMADATAN",Input_Jalan!H50))),=Input_Jalan!K50*Asumsi!$B$5*(Input_Jalan!M50+Input_Jalan!N50+Input_Jalan!O50)*Asumsi!$B$9/Asumsi!$R$35,0)</f>
      </c>
      <c r="M50" s="0">
        <f>SUM(H50:L50)</f>
      </c>
      <c r="N50" s="0">
        <f>H50*Asumsi!$S$31+I50*Asumsi!$S$32+J50*Asumsi!$S$33+K50*Asumsi!$S$34+L50*Asumsi!$S$35</f>
      </c>
      <c r="O50" s="0">
        <f>IF(ISNUMBER(SEARCH("GRADING",Input_Jalan!H50)),"GRD ","")&amp;IF(ISNUMBER(SEARCH("RIPPING",Input_Jalan!H50)),"RIP ","")&amp;IF(ISNUMBER(SEARCH("SPREADING",Input_Jalan!H50)),"SPR ","")&amp;IF(ISNUMBER(SEARCH("COMPACTING",Input_Jalan!H50)),"CMP ","")&amp;IF(ISNUMBER(SEARCH("PEMADATAN",Input_Jalan!H50)),"CMP ","")&amp;IF(ISNUMBER(SEARCH("DRAINASE",Input_Jalan!H50)),"DRN ","")&amp;IF(ISNUMBER(SEARCH("TANAH DASAR",Input_Jalan!H50)),"SUB ","")&amp;IF(ISNUMBER(SEARCH("BASECOURSE",Input_Jalan!H50)),"BSC ","")&amp;IF(ISNUMBER(SEARCH("PATCHING",Input_Jalan!H50)),"PTH ","")&amp;IF(ISNUMBER(SEARCH("SEMENISASI",Input_Jalan!H50)),"SEM ","")</f>
      </c>
      <c r="P50" s="0">
        <f>IF(I50&gt;0,"AL-DZR ","")&amp;IF(H50&gt;0,"AL-GRD ","")&amp;IF(J50&gt;0,"AL-RLR ","")&amp;IF(K50&gt;0,"AL-EXC ","")&amp;IF(L50&gt;0,"AL-WTR","")</f>
      </c>
    </row>
    <row r="51">
      <c r="A51" s="0">
        <f>Input_Jalan!A51</f>
      </c>
      <c r="B51" s="0">
        <f>Input_Jalan!B51</f>
      </c>
      <c r="C51" s="0">
        <f>Input_Jalan!F51</f>
      </c>
      <c r="D51" s="0">
        <f>Input_Jalan!I51</f>
      </c>
      <c r="E51" s="0">
        <f>Input_Jalan!K51</f>
      </c>
      <c r="F51" s="0">
        <f>Input_Jalan!K51*Asumsi!$B$5*(Input_Jalan!M51+Input_Jalan!N51+Input_Jalan!O51)</f>
      </c>
      <c r="G51" s="0">
        <f>Input_Jalan!I51*Asumsi!$B$7*Asumsi!$B$8*Input_Jalan!L51</f>
      </c>
      <c r="H51" s="0">
        <f>IF(ISNUMBER(SEARCH("GRADING",Input_Jalan!H51)),Input_Jalan!K51/Analisa_Produktivitas!$E$2,0)</f>
      </c>
      <c r="I51" s="0">
        <f>IF(ISNUMBER(SEARCH("RIPPING",Input_Jalan!H51)),=Input_Jalan!K51*Asumsi!$B$5*(Input_Jalan!M51+Input_Jalan!N51+Input_Jalan!O51)/Analisa_Produktivitas!$E$3,0)+IF(ISNUMBER(SEARCH("SPREADING",Input_Jalan!H51)),=Input_Jalan!K51*Asumsi!$B$5*(Input_Jalan!M51+Input_Jalan!N51+Input_Jalan!O51)/Analisa_Produktivitas!$E$4,0)+IF(ISNUMBER(SEARCH("BASECOURSE",Input_Jalan!H51)),=Input_Jalan!K51*Asumsi!$B$5*(Input_Jalan!M51+Input_Jalan!N51+Input_Jalan!O51)/Analisa_Produktivitas!$E$8,0)</f>
      </c>
      <c r="J51" s="0">
        <f>IF(OR(ISNUMBER(SEARCH("COMPACTING",Input_Jalan!H51)),ISNUMBER(SEARCH("PEMADATAN",Input_Jalan!H51))),=Input_Jalan!K51*Asumsi!$B$5*(Input_Jalan!M51+Input_Jalan!N51+Input_Jalan!O51)/Analisa_Produktivitas!$E$5,0)</f>
      </c>
      <c r="K51" s="0">
        <f>IF(ISNUMBER(SEARCH("DRAINASE",Input_Jalan!H51)),=Input_Jalan!I51*Asumsi!$B$7*Asumsi!$B$8*Input_Jalan!L51/Analisa_Produktivitas!$E$6,0)+IF(ISNUMBER(SEARCH("TANAH DASAR",Input_Jalan!H51)),=Input_Jalan!K51*Asumsi!$B$5*(Input_Jalan!M51+Input_Jalan!N51+Input_Jalan!O51)/Analisa_Produktivitas!$E$7,0)+IF(ISNUMBER(SEARCH("PATCHING",Input_Jalan!H51)),=Input_Jalan!K51*Asumsi!$B$5*(Input_Jalan!M51+Input_Jalan!N51+Input_Jalan!O51)/Analisa_Produktivitas!$E$9,0)</f>
      </c>
      <c r="L51" s="0">
        <f>IF(OR(ISNUMBER(SEARCH("COMPACTING",Input_Jalan!H51)),ISNUMBER(SEARCH("PEMADATAN",Input_Jalan!H51))),=Input_Jalan!K51*Asumsi!$B$5*(Input_Jalan!M51+Input_Jalan!N51+Input_Jalan!O51)*Asumsi!$B$9/Asumsi!$R$35,0)</f>
      </c>
      <c r="M51" s="0">
        <f>SUM(H51:L51)</f>
      </c>
      <c r="N51" s="0">
        <f>H51*Asumsi!$S$31+I51*Asumsi!$S$32+J51*Asumsi!$S$33+K51*Asumsi!$S$34+L51*Asumsi!$S$35</f>
      </c>
      <c r="O51" s="0">
        <f>IF(ISNUMBER(SEARCH("GRADING",Input_Jalan!H51)),"GRD ","")&amp;IF(ISNUMBER(SEARCH("RIPPING",Input_Jalan!H51)),"RIP ","")&amp;IF(ISNUMBER(SEARCH("SPREADING",Input_Jalan!H51)),"SPR ","")&amp;IF(ISNUMBER(SEARCH("COMPACTING",Input_Jalan!H51)),"CMP ","")&amp;IF(ISNUMBER(SEARCH("PEMADATAN",Input_Jalan!H51)),"CMP ","")&amp;IF(ISNUMBER(SEARCH("DRAINASE",Input_Jalan!H51)),"DRN ","")&amp;IF(ISNUMBER(SEARCH("TANAH DASAR",Input_Jalan!H51)),"SUB ","")&amp;IF(ISNUMBER(SEARCH("BASECOURSE",Input_Jalan!H51)),"BSC ","")&amp;IF(ISNUMBER(SEARCH("PATCHING",Input_Jalan!H51)),"PTH ","")&amp;IF(ISNUMBER(SEARCH("SEMENISASI",Input_Jalan!H51)),"SEM ","")</f>
      </c>
      <c r="P51" s="0">
        <f>IF(I51&gt;0,"AL-DZR ","")&amp;IF(H51&gt;0,"AL-GRD ","")&amp;IF(J51&gt;0,"AL-RLR ","")&amp;IF(K51&gt;0,"AL-EXC ","")&amp;IF(L51&gt;0,"AL-WTR","")</f>
      </c>
    </row>
    <row r="52">
      <c r="A52" s="0">
        <f>Input_Jalan!A52</f>
      </c>
      <c r="B52" s="0">
        <f>Input_Jalan!B52</f>
      </c>
      <c r="C52" s="0">
        <f>Input_Jalan!F52</f>
      </c>
      <c r="D52" s="0">
        <f>Input_Jalan!I52</f>
      </c>
      <c r="E52" s="0">
        <f>Input_Jalan!K52</f>
      </c>
      <c r="F52" s="0">
        <f>Input_Jalan!K52*Asumsi!$B$5*(Input_Jalan!M52+Input_Jalan!N52+Input_Jalan!O52)</f>
      </c>
      <c r="G52" s="0">
        <f>Input_Jalan!I52*Asumsi!$B$7*Asumsi!$B$8*Input_Jalan!L52</f>
      </c>
      <c r="H52" s="0">
        <f>IF(ISNUMBER(SEARCH("GRADING",Input_Jalan!H52)),Input_Jalan!K52/Analisa_Produktivitas!$E$2,0)</f>
      </c>
      <c r="I52" s="0">
        <f>IF(ISNUMBER(SEARCH("RIPPING",Input_Jalan!H52)),=Input_Jalan!K52*Asumsi!$B$5*(Input_Jalan!M52+Input_Jalan!N52+Input_Jalan!O52)/Analisa_Produktivitas!$E$3,0)+IF(ISNUMBER(SEARCH("SPREADING",Input_Jalan!H52)),=Input_Jalan!K52*Asumsi!$B$5*(Input_Jalan!M52+Input_Jalan!N52+Input_Jalan!O52)/Analisa_Produktivitas!$E$4,0)+IF(ISNUMBER(SEARCH("BASECOURSE",Input_Jalan!H52)),=Input_Jalan!K52*Asumsi!$B$5*(Input_Jalan!M52+Input_Jalan!N52+Input_Jalan!O52)/Analisa_Produktivitas!$E$8,0)</f>
      </c>
      <c r="J52" s="0">
        <f>IF(OR(ISNUMBER(SEARCH("COMPACTING",Input_Jalan!H52)),ISNUMBER(SEARCH("PEMADATAN",Input_Jalan!H52))),=Input_Jalan!K52*Asumsi!$B$5*(Input_Jalan!M52+Input_Jalan!N52+Input_Jalan!O52)/Analisa_Produktivitas!$E$5,0)</f>
      </c>
      <c r="K52" s="0">
        <f>IF(ISNUMBER(SEARCH("DRAINASE",Input_Jalan!H52)),=Input_Jalan!I52*Asumsi!$B$7*Asumsi!$B$8*Input_Jalan!L52/Analisa_Produktivitas!$E$6,0)+IF(ISNUMBER(SEARCH("TANAH DASAR",Input_Jalan!H52)),=Input_Jalan!K52*Asumsi!$B$5*(Input_Jalan!M52+Input_Jalan!N52+Input_Jalan!O52)/Analisa_Produktivitas!$E$7,0)+IF(ISNUMBER(SEARCH("PATCHING",Input_Jalan!H52)),=Input_Jalan!K52*Asumsi!$B$5*(Input_Jalan!M52+Input_Jalan!N52+Input_Jalan!O52)/Analisa_Produktivitas!$E$9,0)</f>
      </c>
      <c r="L52" s="0">
        <f>IF(OR(ISNUMBER(SEARCH("COMPACTING",Input_Jalan!H52)),ISNUMBER(SEARCH("PEMADATAN",Input_Jalan!H52))),=Input_Jalan!K52*Asumsi!$B$5*(Input_Jalan!M52+Input_Jalan!N52+Input_Jalan!O52)*Asumsi!$B$9/Asumsi!$R$35,0)</f>
      </c>
      <c r="M52" s="0">
        <f>SUM(H52:L52)</f>
      </c>
      <c r="N52" s="0">
        <f>H52*Asumsi!$S$31+I52*Asumsi!$S$32+J52*Asumsi!$S$33+K52*Asumsi!$S$34+L52*Asumsi!$S$35</f>
      </c>
      <c r="O52" s="0">
        <f>IF(ISNUMBER(SEARCH("GRADING",Input_Jalan!H52)),"GRD ","")&amp;IF(ISNUMBER(SEARCH("RIPPING",Input_Jalan!H52)),"RIP ","")&amp;IF(ISNUMBER(SEARCH("SPREADING",Input_Jalan!H52)),"SPR ","")&amp;IF(ISNUMBER(SEARCH("COMPACTING",Input_Jalan!H52)),"CMP ","")&amp;IF(ISNUMBER(SEARCH("PEMADATAN",Input_Jalan!H52)),"CMP ","")&amp;IF(ISNUMBER(SEARCH("DRAINASE",Input_Jalan!H52)),"DRN ","")&amp;IF(ISNUMBER(SEARCH("TANAH DASAR",Input_Jalan!H52)),"SUB ","")&amp;IF(ISNUMBER(SEARCH("BASECOURSE",Input_Jalan!H52)),"BSC ","")&amp;IF(ISNUMBER(SEARCH("PATCHING",Input_Jalan!H52)),"PTH ","")&amp;IF(ISNUMBER(SEARCH("SEMENISASI",Input_Jalan!H52)),"SEM ","")</f>
      </c>
      <c r="P52" s="0">
        <f>IF(I52&gt;0,"AL-DZR ","")&amp;IF(H52&gt;0,"AL-GRD ","")&amp;IF(J52&gt;0,"AL-RLR ","")&amp;IF(K52&gt;0,"AL-EXC ","")&amp;IF(L52&gt;0,"AL-WTR","")</f>
      </c>
    </row>
    <row r="53">
      <c r="A53" s="0">
        <f>Input_Jalan!A53</f>
      </c>
      <c r="B53" s="0">
        <f>Input_Jalan!B53</f>
      </c>
      <c r="C53" s="0">
        <f>Input_Jalan!F53</f>
      </c>
      <c r="D53" s="0">
        <f>Input_Jalan!I53</f>
      </c>
      <c r="E53" s="0">
        <f>Input_Jalan!K53</f>
      </c>
      <c r="F53" s="0">
        <f>Input_Jalan!K53*Asumsi!$B$5*(Input_Jalan!M53+Input_Jalan!N53+Input_Jalan!O53)</f>
      </c>
      <c r="G53" s="0">
        <f>Input_Jalan!I53*Asumsi!$B$7*Asumsi!$B$8*Input_Jalan!L53</f>
      </c>
      <c r="H53" s="0">
        <f>IF(ISNUMBER(SEARCH("GRADING",Input_Jalan!H53)),Input_Jalan!K53/Analisa_Produktivitas!$E$2,0)</f>
      </c>
      <c r="I53" s="0">
        <f>IF(ISNUMBER(SEARCH("RIPPING",Input_Jalan!H53)),=Input_Jalan!K53*Asumsi!$B$5*(Input_Jalan!M53+Input_Jalan!N53+Input_Jalan!O53)/Analisa_Produktivitas!$E$3,0)+IF(ISNUMBER(SEARCH("SPREADING",Input_Jalan!H53)),=Input_Jalan!K53*Asumsi!$B$5*(Input_Jalan!M53+Input_Jalan!N53+Input_Jalan!O53)/Analisa_Produktivitas!$E$4,0)+IF(ISNUMBER(SEARCH("BASECOURSE",Input_Jalan!H53)),=Input_Jalan!K53*Asumsi!$B$5*(Input_Jalan!M53+Input_Jalan!N53+Input_Jalan!O53)/Analisa_Produktivitas!$E$8,0)</f>
      </c>
      <c r="J53" s="0">
        <f>IF(OR(ISNUMBER(SEARCH("COMPACTING",Input_Jalan!H53)),ISNUMBER(SEARCH("PEMADATAN",Input_Jalan!H53))),=Input_Jalan!K53*Asumsi!$B$5*(Input_Jalan!M53+Input_Jalan!N53+Input_Jalan!O53)/Analisa_Produktivitas!$E$5,0)</f>
      </c>
      <c r="K53" s="0">
        <f>IF(ISNUMBER(SEARCH("DRAINASE",Input_Jalan!H53)),=Input_Jalan!I53*Asumsi!$B$7*Asumsi!$B$8*Input_Jalan!L53/Analisa_Produktivitas!$E$6,0)+IF(ISNUMBER(SEARCH("TANAH DASAR",Input_Jalan!H53)),=Input_Jalan!K53*Asumsi!$B$5*(Input_Jalan!M53+Input_Jalan!N53+Input_Jalan!O53)/Analisa_Produktivitas!$E$7,0)+IF(ISNUMBER(SEARCH("PATCHING",Input_Jalan!H53)),=Input_Jalan!K53*Asumsi!$B$5*(Input_Jalan!M53+Input_Jalan!N53+Input_Jalan!O53)/Analisa_Produktivitas!$E$9,0)</f>
      </c>
      <c r="L53" s="0">
        <f>IF(OR(ISNUMBER(SEARCH("COMPACTING",Input_Jalan!H53)),ISNUMBER(SEARCH("PEMADATAN",Input_Jalan!H53))),=Input_Jalan!K53*Asumsi!$B$5*(Input_Jalan!M53+Input_Jalan!N53+Input_Jalan!O53)*Asumsi!$B$9/Asumsi!$R$35,0)</f>
      </c>
      <c r="M53" s="0">
        <f>SUM(H53:L53)</f>
      </c>
      <c r="N53" s="0">
        <f>H53*Asumsi!$S$31+I53*Asumsi!$S$32+J53*Asumsi!$S$33+K53*Asumsi!$S$34+L53*Asumsi!$S$35</f>
      </c>
      <c r="O53" s="0">
        <f>IF(ISNUMBER(SEARCH("GRADING",Input_Jalan!H53)),"GRD ","")&amp;IF(ISNUMBER(SEARCH("RIPPING",Input_Jalan!H53)),"RIP ","")&amp;IF(ISNUMBER(SEARCH("SPREADING",Input_Jalan!H53)),"SPR ","")&amp;IF(ISNUMBER(SEARCH("COMPACTING",Input_Jalan!H53)),"CMP ","")&amp;IF(ISNUMBER(SEARCH("PEMADATAN",Input_Jalan!H53)),"CMP ","")&amp;IF(ISNUMBER(SEARCH("DRAINASE",Input_Jalan!H53)),"DRN ","")&amp;IF(ISNUMBER(SEARCH("TANAH DASAR",Input_Jalan!H53)),"SUB ","")&amp;IF(ISNUMBER(SEARCH("BASECOURSE",Input_Jalan!H53)),"BSC ","")&amp;IF(ISNUMBER(SEARCH("PATCHING",Input_Jalan!H53)),"PTH ","")&amp;IF(ISNUMBER(SEARCH("SEMENISASI",Input_Jalan!H53)),"SEM ","")</f>
      </c>
      <c r="P53" s="0">
        <f>IF(I53&gt;0,"AL-DZR ","")&amp;IF(H53&gt;0,"AL-GRD ","")&amp;IF(J53&gt;0,"AL-RLR ","")&amp;IF(K53&gt;0,"AL-EXC ","")&amp;IF(L53&gt;0,"AL-WTR","")</f>
      </c>
    </row>
    <row r="54">
      <c r="A54" s="0">
        <f>Input_Jalan!A54</f>
      </c>
      <c r="B54" s="0">
        <f>Input_Jalan!B54</f>
      </c>
      <c r="C54" s="0">
        <f>Input_Jalan!F54</f>
      </c>
      <c r="D54" s="0">
        <f>Input_Jalan!I54</f>
      </c>
      <c r="E54" s="0">
        <f>Input_Jalan!K54</f>
      </c>
      <c r="F54" s="0">
        <f>Input_Jalan!K54*Asumsi!$B$5*(Input_Jalan!M54+Input_Jalan!N54+Input_Jalan!O54)</f>
      </c>
      <c r="G54" s="0">
        <f>Input_Jalan!I54*Asumsi!$B$7*Asumsi!$B$8*Input_Jalan!L54</f>
      </c>
      <c r="H54" s="0">
        <f>IF(ISNUMBER(SEARCH("GRADING",Input_Jalan!H54)),Input_Jalan!K54/Analisa_Produktivitas!$E$2,0)</f>
      </c>
      <c r="I54" s="0">
        <f>IF(ISNUMBER(SEARCH("RIPPING",Input_Jalan!H54)),=Input_Jalan!K54*Asumsi!$B$5*(Input_Jalan!M54+Input_Jalan!N54+Input_Jalan!O54)/Analisa_Produktivitas!$E$3,0)+IF(ISNUMBER(SEARCH("SPREADING",Input_Jalan!H54)),=Input_Jalan!K54*Asumsi!$B$5*(Input_Jalan!M54+Input_Jalan!N54+Input_Jalan!O54)/Analisa_Produktivitas!$E$4,0)+IF(ISNUMBER(SEARCH("BASECOURSE",Input_Jalan!H54)),=Input_Jalan!K54*Asumsi!$B$5*(Input_Jalan!M54+Input_Jalan!N54+Input_Jalan!O54)/Analisa_Produktivitas!$E$8,0)</f>
      </c>
      <c r="J54" s="0">
        <f>IF(OR(ISNUMBER(SEARCH("COMPACTING",Input_Jalan!H54)),ISNUMBER(SEARCH("PEMADATAN",Input_Jalan!H54))),=Input_Jalan!K54*Asumsi!$B$5*(Input_Jalan!M54+Input_Jalan!N54+Input_Jalan!O54)/Analisa_Produktivitas!$E$5,0)</f>
      </c>
      <c r="K54" s="0">
        <f>IF(ISNUMBER(SEARCH("DRAINASE",Input_Jalan!H54)),=Input_Jalan!I54*Asumsi!$B$7*Asumsi!$B$8*Input_Jalan!L54/Analisa_Produktivitas!$E$6,0)+IF(ISNUMBER(SEARCH("TANAH DASAR",Input_Jalan!H54)),=Input_Jalan!K54*Asumsi!$B$5*(Input_Jalan!M54+Input_Jalan!N54+Input_Jalan!O54)/Analisa_Produktivitas!$E$7,0)+IF(ISNUMBER(SEARCH("PATCHING",Input_Jalan!H54)),=Input_Jalan!K54*Asumsi!$B$5*(Input_Jalan!M54+Input_Jalan!N54+Input_Jalan!O54)/Analisa_Produktivitas!$E$9,0)</f>
      </c>
      <c r="L54" s="0">
        <f>IF(OR(ISNUMBER(SEARCH("COMPACTING",Input_Jalan!H54)),ISNUMBER(SEARCH("PEMADATAN",Input_Jalan!H54))),=Input_Jalan!K54*Asumsi!$B$5*(Input_Jalan!M54+Input_Jalan!N54+Input_Jalan!O54)*Asumsi!$B$9/Asumsi!$R$35,0)</f>
      </c>
      <c r="M54" s="0">
        <f>SUM(H54:L54)</f>
      </c>
      <c r="N54" s="0">
        <f>H54*Asumsi!$S$31+I54*Asumsi!$S$32+J54*Asumsi!$S$33+K54*Asumsi!$S$34+L54*Asumsi!$S$35</f>
      </c>
      <c r="O54" s="0">
        <f>IF(ISNUMBER(SEARCH("GRADING",Input_Jalan!H54)),"GRD ","")&amp;IF(ISNUMBER(SEARCH("RIPPING",Input_Jalan!H54)),"RIP ","")&amp;IF(ISNUMBER(SEARCH("SPREADING",Input_Jalan!H54)),"SPR ","")&amp;IF(ISNUMBER(SEARCH("COMPACTING",Input_Jalan!H54)),"CMP ","")&amp;IF(ISNUMBER(SEARCH("PEMADATAN",Input_Jalan!H54)),"CMP ","")&amp;IF(ISNUMBER(SEARCH("DRAINASE",Input_Jalan!H54)),"DRN ","")&amp;IF(ISNUMBER(SEARCH("TANAH DASAR",Input_Jalan!H54)),"SUB ","")&amp;IF(ISNUMBER(SEARCH("BASECOURSE",Input_Jalan!H54)),"BSC ","")&amp;IF(ISNUMBER(SEARCH("PATCHING",Input_Jalan!H54)),"PTH ","")&amp;IF(ISNUMBER(SEARCH("SEMENISASI",Input_Jalan!H54)),"SEM ","")</f>
      </c>
      <c r="P54" s="0">
        <f>IF(I54&gt;0,"AL-DZR ","")&amp;IF(H54&gt;0,"AL-GRD ","")&amp;IF(J54&gt;0,"AL-RLR ","")&amp;IF(K54&gt;0,"AL-EXC ","")&amp;IF(L54&gt;0,"AL-WTR","")</f>
      </c>
    </row>
    <row r="55">
      <c r="A55" s="0">
        <f>Input_Jalan!A55</f>
      </c>
      <c r="B55" s="0">
        <f>Input_Jalan!B55</f>
      </c>
      <c r="C55" s="0">
        <f>Input_Jalan!F55</f>
      </c>
      <c r="D55" s="0">
        <f>Input_Jalan!I55</f>
      </c>
      <c r="E55" s="0">
        <f>Input_Jalan!K55</f>
      </c>
      <c r="F55" s="0">
        <f>Input_Jalan!K55*Asumsi!$B$5*(Input_Jalan!M55+Input_Jalan!N55+Input_Jalan!O55)</f>
      </c>
      <c r="G55" s="0">
        <f>Input_Jalan!I55*Asumsi!$B$7*Asumsi!$B$8*Input_Jalan!L55</f>
      </c>
      <c r="H55" s="0">
        <f>IF(ISNUMBER(SEARCH("GRADING",Input_Jalan!H55)),Input_Jalan!K55/Analisa_Produktivitas!$E$2,0)</f>
      </c>
      <c r="I55" s="0">
        <f>IF(ISNUMBER(SEARCH("RIPPING",Input_Jalan!H55)),=Input_Jalan!K55*Asumsi!$B$5*(Input_Jalan!M55+Input_Jalan!N55+Input_Jalan!O55)/Analisa_Produktivitas!$E$3,0)+IF(ISNUMBER(SEARCH("SPREADING",Input_Jalan!H55)),=Input_Jalan!K55*Asumsi!$B$5*(Input_Jalan!M55+Input_Jalan!N55+Input_Jalan!O55)/Analisa_Produktivitas!$E$4,0)+IF(ISNUMBER(SEARCH("BASECOURSE",Input_Jalan!H55)),=Input_Jalan!K55*Asumsi!$B$5*(Input_Jalan!M55+Input_Jalan!N55+Input_Jalan!O55)/Analisa_Produktivitas!$E$8,0)</f>
      </c>
      <c r="J55" s="0">
        <f>IF(OR(ISNUMBER(SEARCH("COMPACTING",Input_Jalan!H55)),ISNUMBER(SEARCH("PEMADATAN",Input_Jalan!H55))),=Input_Jalan!K55*Asumsi!$B$5*(Input_Jalan!M55+Input_Jalan!N55+Input_Jalan!O55)/Analisa_Produktivitas!$E$5,0)</f>
      </c>
      <c r="K55" s="0">
        <f>IF(ISNUMBER(SEARCH("DRAINASE",Input_Jalan!H55)),=Input_Jalan!I55*Asumsi!$B$7*Asumsi!$B$8*Input_Jalan!L55/Analisa_Produktivitas!$E$6,0)+IF(ISNUMBER(SEARCH("TANAH DASAR",Input_Jalan!H55)),=Input_Jalan!K55*Asumsi!$B$5*(Input_Jalan!M55+Input_Jalan!N55+Input_Jalan!O55)/Analisa_Produktivitas!$E$7,0)+IF(ISNUMBER(SEARCH("PATCHING",Input_Jalan!H55)),=Input_Jalan!K55*Asumsi!$B$5*(Input_Jalan!M55+Input_Jalan!N55+Input_Jalan!O55)/Analisa_Produktivitas!$E$9,0)</f>
      </c>
      <c r="L55" s="0">
        <f>IF(OR(ISNUMBER(SEARCH("COMPACTING",Input_Jalan!H55)),ISNUMBER(SEARCH("PEMADATAN",Input_Jalan!H55))),=Input_Jalan!K55*Asumsi!$B$5*(Input_Jalan!M55+Input_Jalan!N55+Input_Jalan!O55)*Asumsi!$B$9/Asumsi!$R$35,0)</f>
      </c>
      <c r="M55" s="0">
        <f>SUM(H55:L55)</f>
      </c>
      <c r="N55" s="0">
        <f>H55*Asumsi!$S$31+I55*Asumsi!$S$32+J55*Asumsi!$S$33+K55*Asumsi!$S$34+L55*Asumsi!$S$35</f>
      </c>
      <c r="O55" s="0">
        <f>IF(ISNUMBER(SEARCH("GRADING",Input_Jalan!H55)),"GRD ","")&amp;IF(ISNUMBER(SEARCH("RIPPING",Input_Jalan!H55)),"RIP ","")&amp;IF(ISNUMBER(SEARCH("SPREADING",Input_Jalan!H55)),"SPR ","")&amp;IF(ISNUMBER(SEARCH("COMPACTING",Input_Jalan!H55)),"CMP ","")&amp;IF(ISNUMBER(SEARCH("PEMADATAN",Input_Jalan!H55)),"CMP ","")&amp;IF(ISNUMBER(SEARCH("DRAINASE",Input_Jalan!H55)),"DRN ","")&amp;IF(ISNUMBER(SEARCH("TANAH DASAR",Input_Jalan!H55)),"SUB ","")&amp;IF(ISNUMBER(SEARCH("BASECOURSE",Input_Jalan!H55)),"BSC ","")&amp;IF(ISNUMBER(SEARCH("PATCHING",Input_Jalan!H55)),"PTH ","")&amp;IF(ISNUMBER(SEARCH("SEMENISASI",Input_Jalan!H55)),"SEM ","")</f>
      </c>
      <c r="P55" s="0">
        <f>IF(I55&gt;0,"AL-DZR ","")&amp;IF(H55&gt;0,"AL-GRD ","")&amp;IF(J55&gt;0,"AL-RLR ","")&amp;IF(K55&gt;0,"AL-EXC ","")&amp;IF(L55&gt;0,"AL-WTR","")</f>
      </c>
    </row>
    <row r="56">
      <c r="A56" s="0">
        <f>Input_Jalan!A56</f>
      </c>
      <c r="B56" s="0">
        <f>Input_Jalan!B56</f>
      </c>
      <c r="C56" s="0">
        <f>Input_Jalan!F56</f>
      </c>
      <c r="D56" s="0">
        <f>Input_Jalan!I56</f>
      </c>
      <c r="E56" s="0">
        <f>Input_Jalan!K56</f>
      </c>
      <c r="F56" s="0">
        <f>Input_Jalan!K56*Asumsi!$B$5*(Input_Jalan!M56+Input_Jalan!N56+Input_Jalan!O56)</f>
      </c>
      <c r="G56" s="0">
        <f>Input_Jalan!I56*Asumsi!$B$7*Asumsi!$B$8*Input_Jalan!L56</f>
      </c>
      <c r="H56" s="0">
        <f>IF(ISNUMBER(SEARCH("GRADING",Input_Jalan!H56)),Input_Jalan!K56/Analisa_Produktivitas!$E$2,0)</f>
      </c>
      <c r="I56" s="0">
        <f>IF(ISNUMBER(SEARCH("RIPPING",Input_Jalan!H56)),=Input_Jalan!K56*Asumsi!$B$5*(Input_Jalan!M56+Input_Jalan!N56+Input_Jalan!O56)/Analisa_Produktivitas!$E$3,0)+IF(ISNUMBER(SEARCH("SPREADING",Input_Jalan!H56)),=Input_Jalan!K56*Asumsi!$B$5*(Input_Jalan!M56+Input_Jalan!N56+Input_Jalan!O56)/Analisa_Produktivitas!$E$4,0)+IF(ISNUMBER(SEARCH("BASECOURSE",Input_Jalan!H56)),=Input_Jalan!K56*Asumsi!$B$5*(Input_Jalan!M56+Input_Jalan!N56+Input_Jalan!O56)/Analisa_Produktivitas!$E$8,0)</f>
      </c>
      <c r="J56" s="0">
        <f>IF(OR(ISNUMBER(SEARCH("COMPACTING",Input_Jalan!H56)),ISNUMBER(SEARCH("PEMADATAN",Input_Jalan!H56))),=Input_Jalan!K56*Asumsi!$B$5*(Input_Jalan!M56+Input_Jalan!N56+Input_Jalan!O56)/Analisa_Produktivitas!$E$5,0)</f>
      </c>
      <c r="K56" s="0">
        <f>IF(ISNUMBER(SEARCH("DRAINASE",Input_Jalan!H56)),=Input_Jalan!I56*Asumsi!$B$7*Asumsi!$B$8*Input_Jalan!L56/Analisa_Produktivitas!$E$6,0)+IF(ISNUMBER(SEARCH("TANAH DASAR",Input_Jalan!H56)),=Input_Jalan!K56*Asumsi!$B$5*(Input_Jalan!M56+Input_Jalan!N56+Input_Jalan!O56)/Analisa_Produktivitas!$E$7,0)+IF(ISNUMBER(SEARCH("PATCHING",Input_Jalan!H56)),=Input_Jalan!K56*Asumsi!$B$5*(Input_Jalan!M56+Input_Jalan!N56+Input_Jalan!O56)/Analisa_Produktivitas!$E$9,0)</f>
      </c>
      <c r="L56" s="0">
        <f>IF(OR(ISNUMBER(SEARCH("COMPACTING",Input_Jalan!H56)),ISNUMBER(SEARCH("PEMADATAN",Input_Jalan!H56))),=Input_Jalan!K56*Asumsi!$B$5*(Input_Jalan!M56+Input_Jalan!N56+Input_Jalan!O56)*Asumsi!$B$9/Asumsi!$R$35,0)</f>
      </c>
      <c r="M56" s="0">
        <f>SUM(H56:L56)</f>
      </c>
      <c r="N56" s="0">
        <f>H56*Asumsi!$S$31+I56*Asumsi!$S$32+J56*Asumsi!$S$33+K56*Asumsi!$S$34+L56*Asumsi!$S$35</f>
      </c>
      <c r="O56" s="0">
        <f>IF(ISNUMBER(SEARCH("GRADING",Input_Jalan!H56)),"GRD ","")&amp;IF(ISNUMBER(SEARCH("RIPPING",Input_Jalan!H56)),"RIP ","")&amp;IF(ISNUMBER(SEARCH("SPREADING",Input_Jalan!H56)),"SPR ","")&amp;IF(ISNUMBER(SEARCH("COMPACTING",Input_Jalan!H56)),"CMP ","")&amp;IF(ISNUMBER(SEARCH("PEMADATAN",Input_Jalan!H56)),"CMP ","")&amp;IF(ISNUMBER(SEARCH("DRAINASE",Input_Jalan!H56)),"DRN ","")&amp;IF(ISNUMBER(SEARCH("TANAH DASAR",Input_Jalan!H56)),"SUB ","")&amp;IF(ISNUMBER(SEARCH("BASECOURSE",Input_Jalan!H56)),"BSC ","")&amp;IF(ISNUMBER(SEARCH("PATCHING",Input_Jalan!H56)),"PTH ","")&amp;IF(ISNUMBER(SEARCH("SEMENISASI",Input_Jalan!H56)),"SEM ","")</f>
      </c>
      <c r="P56" s="0">
        <f>IF(I56&gt;0,"AL-DZR ","")&amp;IF(H56&gt;0,"AL-GRD ","")&amp;IF(J56&gt;0,"AL-RLR ","")&amp;IF(K56&gt;0,"AL-EXC ","")&amp;IF(L56&gt;0,"AL-WTR","")</f>
      </c>
    </row>
    <row r="57">
      <c r="A57" s="0">
        <f>Input_Jalan!A57</f>
      </c>
      <c r="B57" s="0">
        <f>Input_Jalan!B57</f>
      </c>
      <c r="C57" s="0">
        <f>Input_Jalan!F57</f>
      </c>
      <c r="D57" s="0">
        <f>Input_Jalan!I57</f>
      </c>
      <c r="E57" s="0">
        <f>Input_Jalan!K57</f>
      </c>
      <c r="F57" s="0">
        <f>Input_Jalan!K57*Asumsi!$B$5*(Input_Jalan!M57+Input_Jalan!N57+Input_Jalan!O57)</f>
      </c>
      <c r="G57" s="0">
        <f>Input_Jalan!I57*Asumsi!$B$7*Asumsi!$B$8*Input_Jalan!L57</f>
      </c>
      <c r="H57" s="0">
        <f>IF(ISNUMBER(SEARCH("GRADING",Input_Jalan!H57)),Input_Jalan!K57/Analisa_Produktivitas!$E$2,0)</f>
      </c>
      <c r="I57" s="0">
        <f>IF(ISNUMBER(SEARCH("RIPPING",Input_Jalan!H57)),=Input_Jalan!K57*Asumsi!$B$5*(Input_Jalan!M57+Input_Jalan!N57+Input_Jalan!O57)/Analisa_Produktivitas!$E$3,0)+IF(ISNUMBER(SEARCH("SPREADING",Input_Jalan!H57)),=Input_Jalan!K57*Asumsi!$B$5*(Input_Jalan!M57+Input_Jalan!N57+Input_Jalan!O57)/Analisa_Produktivitas!$E$4,0)+IF(ISNUMBER(SEARCH("BASECOURSE",Input_Jalan!H57)),=Input_Jalan!K57*Asumsi!$B$5*(Input_Jalan!M57+Input_Jalan!N57+Input_Jalan!O57)/Analisa_Produktivitas!$E$8,0)</f>
      </c>
      <c r="J57" s="0">
        <f>IF(OR(ISNUMBER(SEARCH("COMPACTING",Input_Jalan!H57)),ISNUMBER(SEARCH("PEMADATAN",Input_Jalan!H57))),=Input_Jalan!K57*Asumsi!$B$5*(Input_Jalan!M57+Input_Jalan!N57+Input_Jalan!O57)/Analisa_Produktivitas!$E$5,0)</f>
      </c>
      <c r="K57" s="0">
        <f>IF(ISNUMBER(SEARCH("DRAINASE",Input_Jalan!H57)),=Input_Jalan!I57*Asumsi!$B$7*Asumsi!$B$8*Input_Jalan!L57/Analisa_Produktivitas!$E$6,0)+IF(ISNUMBER(SEARCH("TANAH DASAR",Input_Jalan!H57)),=Input_Jalan!K57*Asumsi!$B$5*(Input_Jalan!M57+Input_Jalan!N57+Input_Jalan!O57)/Analisa_Produktivitas!$E$7,0)+IF(ISNUMBER(SEARCH("PATCHING",Input_Jalan!H57)),=Input_Jalan!K57*Asumsi!$B$5*(Input_Jalan!M57+Input_Jalan!N57+Input_Jalan!O57)/Analisa_Produktivitas!$E$9,0)</f>
      </c>
      <c r="L57" s="0">
        <f>IF(OR(ISNUMBER(SEARCH("COMPACTING",Input_Jalan!H57)),ISNUMBER(SEARCH("PEMADATAN",Input_Jalan!H57))),=Input_Jalan!K57*Asumsi!$B$5*(Input_Jalan!M57+Input_Jalan!N57+Input_Jalan!O57)*Asumsi!$B$9/Asumsi!$R$35,0)</f>
      </c>
      <c r="M57" s="0">
        <f>SUM(H57:L57)</f>
      </c>
      <c r="N57" s="0">
        <f>H57*Asumsi!$S$31+I57*Asumsi!$S$32+J57*Asumsi!$S$33+K57*Asumsi!$S$34+L57*Asumsi!$S$35</f>
      </c>
      <c r="O57" s="0">
        <f>IF(ISNUMBER(SEARCH("GRADING",Input_Jalan!H57)),"GRD ","")&amp;IF(ISNUMBER(SEARCH("RIPPING",Input_Jalan!H57)),"RIP ","")&amp;IF(ISNUMBER(SEARCH("SPREADING",Input_Jalan!H57)),"SPR ","")&amp;IF(ISNUMBER(SEARCH("COMPACTING",Input_Jalan!H57)),"CMP ","")&amp;IF(ISNUMBER(SEARCH("PEMADATAN",Input_Jalan!H57)),"CMP ","")&amp;IF(ISNUMBER(SEARCH("DRAINASE",Input_Jalan!H57)),"DRN ","")&amp;IF(ISNUMBER(SEARCH("TANAH DASAR",Input_Jalan!H57)),"SUB ","")&amp;IF(ISNUMBER(SEARCH("BASECOURSE",Input_Jalan!H57)),"BSC ","")&amp;IF(ISNUMBER(SEARCH("PATCHING",Input_Jalan!H57)),"PTH ","")&amp;IF(ISNUMBER(SEARCH("SEMENISASI",Input_Jalan!H57)),"SEM ","")</f>
      </c>
      <c r="P57" s="0">
        <f>IF(I57&gt;0,"AL-DZR ","")&amp;IF(H57&gt;0,"AL-GRD ","")&amp;IF(J57&gt;0,"AL-RLR ","")&amp;IF(K57&gt;0,"AL-EXC ","")&amp;IF(L57&gt;0,"AL-WTR","")</f>
      </c>
    </row>
    <row r="58">
      <c r="A58" s="0">
        <f>Input_Jalan!A58</f>
      </c>
      <c r="B58" s="0">
        <f>Input_Jalan!B58</f>
      </c>
      <c r="C58" s="0">
        <f>Input_Jalan!F58</f>
      </c>
      <c r="D58" s="0">
        <f>Input_Jalan!I58</f>
      </c>
      <c r="E58" s="0">
        <f>Input_Jalan!K58</f>
      </c>
      <c r="F58" s="0">
        <f>Input_Jalan!K58*Asumsi!$B$5*(Input_Jalan!M58+Input_Jalan!N58+Input_Jalan!O58)</f>
      </c>
      <c r="G58" s="0">
        <f>Input_Jalan!I58*Asumsi!$B$7*Asumsi!$B$8*Input_Jalan!L58</f>
      </c>
      <c r="H58" s="0">
        <f>IF(ISNUMBER(SEARCH("GRADING",Input_Jalan!H58)),Input_Jalan!K58/Analisa_Produktivitas!$E$2,0)</f>
      </c>
      <c r="I58" s="0">
        <f>IF(ISNUMBER(SEARCH("RIPPING",Input_Jalan!H58)),=Input_Jalan!K58*Asumsi!$B$5*(Input_Jalan!M58+Input_Jalan!N58+Input_Jalan!O58)/Analisa_Produktivitas!$E$3,0)+IF(ISNUMBER(SEARCH("SPREADING",Input_Jalan!H58)),=Input_Jalan!K58*Asumsi!$B$5*(Input_Jalan!M58+Input_Jalan!N58+Input_Jalan!O58)/Analisa_Produktivitas!$E$4,0)+IF(ISNUMBER(SEARCH("BASECOURSE",Input_Jalan!H58)),=Input_Jalan!K58*Asumsi!$B$5*(Input_Jalan!M58+Input_Jalan!N58+Input_Jalan!O58)/Analisa_Produktivitas!$E$8,0)</f>
      </c>
      <c r="J58" s="0">
        <f>IF(OR(ISNUMBER(SEARCH("COMPACTING",Input_Jalan!H58)),ISNUMBER(SEARCH("PEMADATAN",Input_Jalan!H58))),=Input_Jalan!K58*Asumsi!$B$5*(Input_Jalan!M58+Input_Jalan!N58+Input_Jalan!O58)/Analisa_Produktivitas!$E$5,0)</f>
      </c>
      <c r="K58" s="0">
        <f>IF(ISNUMBER(SEARCH("DRAINASE",Input_Jalan!H58)),=Input_Jalan!I58*Asumsi!$B$7*Asumsi!$B$8*Input_Jalan!L58/Analisa_Produktivitas!$E$6,0)+IF(ISNUMBER(SEARCH("TANAH DASAR",Input_Jalan!H58)),=Input_Jalan!K58*Asumsi!$B$5*(Input_Jalan!M58+Input_Jalan!N58+Input_Jalan!O58)/Analisa_Produktivitas!$E$7,0)+IF(ISNUMBER(SEARCH("PATCHING",Input_Jalan!H58)),=Input_Jalan!K58*Asumsi!$B$5*(Input_Jalan!M58+Input_Jalan!N58+Input_Jalan!O58)/Analisa_Produktivitas!$E$9,0)</f>
      </c>
      <c r="L58" s="0">
        <f>IF(OR(ISNUMBER(SEARCH("COMPACTING",Input_Jalan!H58)),ISNUMBER(SEARCH("PEMADATAN",Input_Jalan!H58))),=Input_Jalan!K58*Asumsi!$B$5*(Input_Jalan!M58+Input_Jalan!N58+Input_Jalan!O58)*Asumsi!$B$9/Asumsi!$R$35,0)</f>
      </c>
      <c r="M58" s="0">
        <f>SUM(H58:L58)</f>
      </c>
      <c r="N58" s="0">
        <f>H58*Asumsi!$S$31+I58*Asumsi!$S$32+J58*Asumsi!$S$33+K58*Asumsi!$S$34+L58*Asumsi!$S$35</f>
      </c>
      <c r="O58" s="0">
        <f>IF(ISNUMBER(SEARCH("GRADING",Input_Jalan!H58)),"GRD ","")&amp;IF(ISNUMBER(SEARCH("RIPPING",Input_Jalan!H58)),"RIP ","")&amp;IF(ISNUMBER(SEARCH("SPREADING",Input_Jalan!H58)),"SPR ","")&amp;IF(ISNUMBER(SEARCH("COMPACTING",Input_Jalan!H58)),"CMP ","")&amp;IF(ISNUMBER(SEARCH("PEMADATAN",Input_Jalan!H58)),"CMP ","")&amp;IF(ISNUMBER(SEARCH("DRAINASE",Input_Jalan!H58)),"DRN ","")&amp;IF(ISNUMBER(SEARCH("TANAH DASAR",Input_Jalan!H58)),"SUB ","")&amp;IF(ISNUMBER(SEARCH("BASECOURSE",Input_Jalan!H58)),"BSC ","")&amp;IF(ISNUMBER(SEARCH("PATCHING",Input_Jalan!H58)),"PTH ","")&amp;IF(ISNUMBER(SEARCH("SEMENISASI",Input_Jalan!H58)),"SEM ","")</f>
      </c>
      <c r="P58" s="0">
        <f>IF(I58&gt;0,"AL-DZR ","")&amp;IF(H58&gt;0,"AL-GRD ","")&amp;IF(J58&gt;0,"AL-RLR ","")&amp;IF(K58&gt;0,"AL-EXC ","")&amp;IF(L58&gt;0,"AL-WTR","")</f>
      </c>
    </row>
    <row r="59">
      <c r="A59" s="0">
        <f>Input_Jalan!A59</f>
      </c>
      <c r="B59" s="0">
        <f>Input_Jalan!B59</f>
      </c>
      <c r="C59" s="0">
        <f>Input_Jalan!F59</f>
      </c>
      <c r="D59" s="0">
        <f>Input_Jalan!I59</f>
      </c>
      <c r="E59" s="0">
        <f>Input_Jalan!K59</f>
      </c>
      <c r="F59" s="0">
        <f>Input_Jalan!K59*Asumsi!$B$5*(Input_Jalan!M59+Input_Jalan!N59+Input_Jalan!O59)</f>
      </c>
      <c r="G59" s="0">
        <f>Input_Jalan!I59*Asumsi!$B$7*Asumsi!$B$8*Input_Jalan!L59</f>
      </c>
      <c r="H59" s="0">
        <f>IF(ISNUMBER(SEARCH("GRADING",Input_Jalan!H59)),Input_Jalan!K59/Analisa_Produktivitas!$E$2,0)</f>
      </c>
      <c r="I59" s="0">
        <f>IF(ISNUMBER(SEARCH("RIPPING",Input_Jalan!H59)),=Input_Jalan!K59*Asumsi!$B$5*(Input_Jalan!M59+Input_Jalan!N59+Input_Jalan!O59)/Analisa_Produktivitas!$E$3,0)+IF(ISNUMBER(SEARCH("SPREADING",Input_Jalan!H59)),=Input_Jalan!K59*Asumsi!$B$5*(Input_Jalan!M59+Input_Jalan!N59+Input_Jalan!O59)/Analisa_Produktivitas!$E$4,0)+IF(ISNUMBER(SEARCH("BASECOURSE",Input_Jalan!H59)),=Input_Jalan!K59*Asumsi!$B$5*(Input_Jalan!M59+Input_Jalan!N59+Input_Jalan!O59)/Analisa_Produktivitas!$E$8,0)</f>
      </c>
      <c r="J59" s="0">
        <f>IF(OR(ISNUMBER(SEARCH("COMPACTING",Input_Jalan!H59)),ISNUMBER(SEARCH("PEMADATAN",Input_Jalan!H59))),=Input_Jalan!K59*Asumsi!$B$5*(Input_Jalan!M59+Input_Jalan!N59+Input_Jalan!O59)/Analisa_Produktivitas!$E$5,0)</f>
      </c>
      <c r="K59" s="0">
        <f>IF(ISNUMBER(SEARCH("DRAINASE",Input_Jalan!H59)),=Input_Jalan!I59*Asumsi!$B$7*Asumsi!$B$8*Input_Jalan!L59/Analisa_Produktivitas!$E$6,0)+IF(ISNUMBER(SEARCH("TANAH DASAR",Input_Jalan!H59)),=Input_Jalan!K59*Asumsi!$B$5*(Input_Jalan!M59+Input_Jalan!N59+Input_Jalan!O59)/Analisa_Produktivitas!$E$7,0)+IF(ISNUMBER(SEARCH("PATCHING",Input_Jalan!H59)),=Input_Jalan!K59*Asumsi!$B$5*(Input_Jalan!M59+Input_Jalan!N59+Input_Jalan!O59)/Analisa_Produktivitas!$E$9,0)</f>
      </c>
      <c r="L59" s="0">
        <f>IF(OR(ISNUMBER(SEARCH("COMPACTING",Input_Jalan!H59)),ISNUMBER(SEARCH("PEMADATAN",Input_Jalan!H59))),=Input_Jalan!K59*Asumsi!$B$5*(Input_Jalan!M59+Input_Jalan!N59+Input_Jalan!O59)*Asumsi!$B$9/Asumsi!$R$35,0)</f>
      </c>
      <c r="M59" s="0">
        <f>SUM(H59:L59)</f>
      </c>
      <c r="N59" s="0">
        <f>H59*Asumsi!$S$31+I59*Asumsi!$S$32+J59*Asumsi!$S$33+K59*Asumsi!$S$34+L59*Asumsi!$S$35</f>
      </c>
      <c r="O59" s="0">
        <f>IF(ISNUMBER(SEARCH("GRADING",Input_Jalan!H59)),"GRD ","")&amp;IF(ISNUMBER(SEARCH("RIPPING",Input_Jalan!H59)),"RIP ","")&amp;IF(ISNUMBER(SEARCH("SPREADING",Input_Jalan!H59)),"SPR ","")&amp;IF(ISNUMBER(SEARCH("COMPACTING",Input_Jalan!H59)),"CMP ","")&amp;IF(ISNUMBER(SEARCH("PEMADATAN",Input_Jalan!H59)),"CMP ","")&amp;IF(ISNUMBER(SEARCH("DRAINASE",Input_Jalan!H59)),"DRN ","")&amp;IF(ISNUMBER(SEARCH("TANAH DASAR",Input_Jalan!H59)),"SUB ","")&amp;IF(ISNUMBER(SEARCH("BASECOURSE",Input_Jalan!H59)),"BSC ","")&amp;IF(ISNUMBER(SEARCH("PATCHING",Input_Jalan!H59)),"PTH ","")&amp;IF(ISNUMBER(SEARCH("SEMENISASI",Input_Jalan!H59)),"SEM ","")</f>
      </c>
      <c r="P59" s="0">
        <f>IF(I59&gt;0,"AL-DZR ","")&amp;IF(H59&gt;0,"AL-GRD ","")&amp;IF(J59&gt;0,"AL-RLR ","")&amp;IF(K59&gt;0,"AL-EXC ","")&amp;IF(L59&gt;0,"AL-WTR","")</f>
      </c>
    </row>
    <row r="60">
      <c r="A60" s="0">
        <f>Input_Jalan!A60</f>
      </c>
      <c r="B60" s="0">
        <f>Input_Jalan!B60</f>
      </c>
      <c r="C60" s="0">
        <f>Input_Jalan!F60</f>
      </c>
      <c r="D60" s="0">
        <f>Input_Jalan!I60</f>
      </c>
      <c r="E60" s="0">
        <f>Input_Jalan!K60</f>
      </c>
      <c r="F60" s="0">
        <f>Input_Jalan!K60*Asumsi!$B$5*(Input_Jalan!M60+Input_Jalan!N60+Input_Jalan!O60)</f>
      </c>
      <c r="G60" s="0">
        <f>Input_Jalan!I60*Asumsi!$B$7*Asumsi!$B$8*Input_Jalan!L60</f>
      </c>
      <c r="H60" s="0">
        <f>IF(ISNUMBER(SEARCH("GRADING",Input_Jalan!H60)),Input_Jalan!K60/Analisa_Produktivitas!$E$2,0)</f>
      </c>
      <c r="I60" s="0">
        <f>IF(ISNUMBER(SEARCH("RIPPING",Input_Jalan!H60)),=Input_Jalan!K60*Asumsi!$B$5*(Input_Jalan!M60+Input_Jalan!N60+Input_Jalan!O60)/Analisa_Produktivitas!$E$3,0)+IF(ISNUMBER(SEARCH("SPREADING",Input_Jalan!H60)),=Input_Jalan!K60*Asumsi!$B$5*(Input_Jalan!M60+Input_Jalan!N60+Input_Jalan!O60)/Analisa_Produktivitas!$E$4,0)+IF(ISNUMBER(SEARCH("BASECOURSE",Input_Jalan!H60)),=Input_Jalan!K60*Asumsi!$B$5*(Input_Jalan!M60+Input_Jalan!N60+Input_Jalan!O60)/Analisa_Produktivitas!$E$8,0)</f>
      </c>
      <c r="J60" s="0">
        <f>IF(OR(ISNUMBER(SEARCH("COMPACTING",Input_Jalan!H60)),ISNUMBER(SEARCH("PEMADATAN",Input_Jalan!H60))),=Input_Jalan!K60*Asumsi!$B$5*(Input_Jalan!M60+Input_Jalan!N60+Input_Jalan!O60)/Analisa_Produktivitas!$E$5,0)</f>
      </c>
      <c r="K60" s="0">
        <f>IF(ISNUMBER(SEARCH("DRAINASE",Input_Jalan!H60)),=Input_Jalan!I60*Asumsi!$B$7*Asumsi!$B$8*Input_Jalan!L60/Analisa_Produktivitas!$E$6,0)+IF(ISNUMBER(SEARCH("TANAH DASAR",Input_Jalan!H60)),=Input_Jalan!K60*Asumsi!$B$5*(Input_Jalan!M60+Input_Jalan!N60+Input_Jalan!O60)/Analisa_Produktivitas!$E$7,0)+IF(ISNUMBER(SEARCH("PATCHING",Input_Jalan!H60)),=Input_Jalan!K60*Asumsi!$B$5*(Input_Jalan!M60+Input_Jalan!N60+Input_Jalan!O60)/Analisa_Produktivitas!$E$9,0)</f>
      </c>
      <c r="L60" s="0">
        <f>IF(OR(ISNUMBER(SEARCH("COMPACTING",Input_Jalan!H60)),ISNUMBER(SEARCH("PEMADATAN",Input_Jalan!H60))),=Input_Jalan!K60*Asumsi!$B$5*(Input_Jalan!M60+Input_Jalan!N60+Input_Jalan!O60)*Asumsi!$B$9/Asumsi!$R$35,0)</f>
      </c>
      <c r="M60" s="0">
        <f>SUM(H60:L60)</f>
      </c>
      <c r="N60" s="0">
        <f>H60*Asumsi!$S$31+I60*Asumsi!$S$32+J60*Asumsi!$S$33+K60*Asumsi!$S$34+L60*Asumsi!$S$35</f>
      </c>
      <c r="O60" s="0">
        <f>IF(ISNUMBER(SEARCH("GRADING",Input_Jalan!H60)),"GRD ","")&amp;IF(ISNUMBER(SEARCH("RIPPING",Input_Jalan!H60)),"RIP ","")&amp;IF(ISNUMBER(SEARCH("SPREADING",Input_Jalan!H60)),"SPR ","")&amp;IF(ISNUMBER(SEARCH("COMPACTING",Input_Jalan!H60)),"CMP ","")&amp;IF(ISNUMBER(SEARCH("PEMADATAN",Input_Jalan!H60)),"CMP ","")&amp;IF(ISNUMBER(SEARCH("DRAINASE",Input_Jalan!H60)),"DRN ","")&amp;IF(ISNUMBER(SEARCH("TANAH DASAR",Input_Jalan!H60)),"SUB ","")&amp;IF(ISNUMBER(SEARCH("BASECOURSE",Input_Jalan!H60)),"BSC ","")&amp;IF(ISNUMBER(SEARCH("PATCHING",Input_Jalan!H60)),"PTH ","")&amp;IF(ISNUMBER(SEARCH("SEMENISASI",Input_Jalan!H60)),"SEM ","")</f>
      </c>
      <c r="P60" s="0">
        <f>IF(I60&gt;0,"AL-DZR ","")&amp;IF(H60&gt;0,"AL-GRD ","")&amp;IF(J60&gt;0,"AL-RLR ","")&amp;IF(K60&gt;0,"AL-EXC ","")&amp;IF(L60&gt;0,"AL-WTR","")</f>
      </c>
    </row>
    <row r="61">
      <c r="A61" s="0">
        <f>Input_Jalan!A61</f>
      </c>
      <c r="B61" s="0">
        <f>Input_Jalan!B61</f>
      </c>
      <c r="C61" s="0">
        <f>Input_Jalan!F61</f>
      </c>
      <c r="D61" s="0">
        <f>Input_Jalan!I61</f>
      </c>
      <c r="E61" s="0">
        <f>Input_Jalan!K61</f>
      </c>
      <c r="F61" s="0">
        <f>Input_Jalan!K61*Asumsi!$B$5*(Input_Jalan!M61+Input_Jalan!N61+Input_Jalan!O61)</f>
      </c>
      <c r="G61" s="0">
        <f>Input_Jalan!I61*Asumsi!$B$7*Asumsi!$B$8*Input_Jalan!L61</f>
      </c>
      <c r="H61" s="0">
        <f>IF(ISNUMBER(SEARCH("GRADING",Input_Jalan!H61)),Input_Jalan!K61/Analisa_Produktivitas!$E$2,0)</f>
      </c>
      <c r="I61" s="0">
        <f>IF(ISNUMBER(SEARCH("RIPPING",Input_Jalan!H61)),=Input_Jalan!K61*Asumsi!$B$5*(Input_Jalan!M61+Input_Jalan!N61+Input_Jalan!O61)/Analisa_Produktivitas!$E$3,0)+IF(ISNUMBER(SEARCH("SPREADING",Input_Jalan!H61)),=Input_Jalan!K61*Asumsi!$B$5*(Input_Jalan!M61+Input_Jalan!N61+Input_Jalan!O61)/Analisa_Produktivitas!$E$4,0)+IF(ISNUMBER(SEARCH("BASECOURSE",Input_Jalan!H61)),=Input_Jalan!K61*Asumsi!$B$5*(Input_Jalan!M61+Input_Jalan!N61+Input_Jalan!O61)/Analisa_Produktivitas!$E$8,0)</f>
      </c>
      <c r="J61" s="0">
        <f>IF(OR(ISNUMBER(SEARCH("COMPACTING",Input_Jalan!H61)),ISNUMBER(SEARCH("PEMADATAN",Input_Jalan!H61))),=Input_Jalan!K61*Asumsi!$B$5*(Input_Jalan!M61+Input_Jalan!N61+Input_Jalan!O61)/Analisa_Produktivitas!$E$5,0)</f>
      </c>
      <c r="K61" s="0">
        <f>IF(ISNUMBER(SEARCH("DRAINASE",Input_Jalan!H61)),=Input_Jalan!I61*Asumsi!$B$7*Asumsi!$B$8*Input_Jalan!L61/Analisa_Produktivitas!$E$6,0)+IF(ISNUMBER(SEARCH("TANAH DASAR",Input_Jalan!H61)),=Input_Jalan!K61*Asumsi!$B$5*(Input_Jalan!M61+Input_Jalan!N61+Input_Jalan!O61)/Analisa_Produktivitas!$E$7,0)+IF(ISNUMBER(SEARCH("PATCHING",Input_Jalan!H61)),=Input_Jalan!K61*Asumsi!$B$5*(Input_Jalan!M61+Input_Jalan!N61+Input_Jalan!O61)/Analisa_Produktivitas!$E$9,0)</f>
      </c>
      <c r="L61" s="0">
        <f>IF(OR(ISNUMBER(SEARCH("COMPACTING",Input_Jalan!H61)),ISNUMBER(SEARCH("PEMADATAN",Input_Jalan!H61))),=Input_Jalan!K61*Asumsi!$B$5*(Input_Jalan!M61+Input_Jalan!N61+Input_Jalan!O61)*Asumsi!$B$9/Asumsi!$R$35,0)</f>
      </c>
      <c r="M61" s="0">
        <f>SUM(H61:L61)</f>
      </c>
      <c r="N61" s="0">
        <f>H61*Asumsi!$S$31+I61*Asumsi!$S$32+J61*Asumsi!$S$33+K61*Asumsi!$S$34+L61*Asumsi!$S$35</f>
      </c>
      <c r="O61" s="0">
        <f>IF(ISNUMBER(SEARCH("GRADING",Input_Jalan!H61)),"GRD ","")&amp;IF(ISNUMBER(SEARCH("RIPPING",Input_Jalan!H61)),"RIP ","")&amp;IF(ISNUMBER(SEARCH("SPREADING",Input_Jalan!H61)),"SPR ","")&amp;IF(ISNUMBER(SEARCH("COMPACTING",Input_Jalan!H61)),"CMP ","")&amp;IF(ISNUMBER(SEARCH("PEMADATAN",Input_Jalan!H61)),"CMP ","")&amp;IF(ISNUMBER(SEARCH("DRAINASE",Input_Jalan!H61)),"DRN ","")&amp;IF(ISNUMBER(SEARCH("TANAH DASAR",Input_Jalan!H61)),"SUB ","")&amp;IF(ISNUMBER(SEARCH("BASECOURSE",Input_Jalan!H61)),"BSC ","")&amp;IF(ISNUMBER(SEARCH("PATCHING",Input_Jalan!H61)),"PTH ","")&amp;IF(ISNUMBER(SEARCH("SEMENISASI",Input_Jalan!H61)),"SEM ","")</f>
      </c>
      <c r="P61" s="0">
        <f>IF(I61&gt;0,"AL-DZR ","")&amp;IF(H61&gt;0,"AL-GRD ","")&amp;IF(J61&gt;0,"AL-RLR ","")&amp;IF(K61&gt;0,"AL-EXC ","")&amp;IF(L61&gt;0,"AL-WTR","")</f>
      </c>
    </row>
    <row r="62">
      <c r="A62" s="0">
        <f>Input_Jalan!A62</f>
      </c>
      <c r="B62" s="0">
        <f>Input_Jalan!B62</f>
      </c>
      <c r="C62" s="0">
        <f>Input_Jalan!F62</f>
      </c>
      <c r="D62" s="0">
        <f>Input_Jalan!I62</f>
      </c>
      <c r="E62" s="0">
        <f>Input_Jalan!K62</f>
      </c>
      <c r="F62" s="0">
        <f>Input_Jalan!K62*Asumsi!$B$5*(Input_Jalan!M62+Input_Jalan!N62+Input_Jalan!O62)</f>
      </c>
      <c r="G62" s="0">
        <f>Input_Jalan!I62*Asumsi!$B$7*Asumsi!$B$8*Input_Jalan!L62</f>
      </c>
      <c r="H62" s="0">
        <f>IF(ISNUMBER(SEARCH("GRADING",Input_Jalan!H62)),Input_Jalan!K62/Analisa_Produktivitas!$E$2,0)</f>
      </c>
      <c r="I62" s="0">
        <f>IF(ISNUMBER(SEARCH("RIPPING",Input_Jalan!H62)),=Input_Jalan!K62*Asumsi!$B$5*(Input_Jalan!M62+Input_Jalan!N62+Input_Jalan!O62)/Analisa_Produktivitas!$E$3,0)+IF(ISNUMBER(SEARCH("SPREADING",Input_Jalan!H62)),=Input_Jalan!K62*Asumsi!$B$5*(Input_Jalan!M62+Input_Jalan!N62+Input_Jalan!O62)/Analisa_Produktivitas!$E$4,0)+IF(ISNUMBER(SEARCH("BASECOURSE",Input_Jalan!H62)),=Input_Jalan!K62*Asumsi!$B$5*(Input_Jalan!M62+Input_Jalan!N62+Input_Jalan!O62)/Analisa_Produktivitas!$E$8,0)</f>
      </c>
      <c r="J62" s="0">
        <f>IF(OR(ISNUMBER(SEARCH("COMPACTING",Input_Jalan!H62)),ISNUMBER(SEARCH("PEMADATAN",Input_Jalan!H62))),=Input_Jalan!K62*Asumsi!$B$5*(Input_Jalan!M62+Input_Jalan!N62+Input_Jalan!O62)/Analisa_Produktivitas!$E$5,0)</f>
      </c>
      <c r="K62" s="0">
        <f>IF(ISNUMBER(SEARCH("DRAINASE",Input_Jalan!H62)),=Input_Jalan!I62*Asumsi!$B$7*Asumsi!$B$8*Input_Jalan!L62/Analisa_Produktivitas!$E$6,0)+IF(ISNUMBER(SEARCH("TANAH DASAR",Input_Jalan!H62)),=Input_Jalan!K62*Asumsi!$B$5*(Input_Jalan!M62+Input_Jalan!N62+Input_Jalan!O62)/Analisa_Produktivitas!$E$7,0)+IF(ISNUMBER(SEARCH("PATCHING",Input_Jalan!H62)),=Input_Jalan!K62*Asumsi!$B$5*(Input_Jalan!M62+Input_Jalan!N62+Input_Jalan!O62)/Analisa_Produktivitas!$E$9,0)</f>
      </c>
      <c r="L62" s="0">
        <f>IF(OR(ISNUMBER(SEARCH("COMPACTING",Input_Jalan!H62)),ISNUMBER(SEARCH("PEMADATAN",Input_Jalan!H62))),=Input_Jalan!K62*Asumsi!$B$5*(Input_Jalan!M62+Input_Jalan!N62+Input_Jalan!O62)*Asumsi!$B$9/Asumsi!$R$35,0)</f>
      </c>
      <c r="M62" s="0">
        <f>SUM(H62:L62)</f>
      </c>
      <c r="N62" s="0">
        <f>H62*Asumsi!$S$31+I62*Asumsi!$S$32+J62*Asumsi!$S$33+K62*Asumsi!$S$34+L62*Asumsi!$S$35</f>
      </c>
      <c r="O62" s="0">
        <f>IF(ISNUMBER(SEARCH("GRADING",Input_Jalan!H62)),"GRD ","")&amp;IF(ISNUMBER(SEARCH("RIPPING",Input_Jalan!H62)),"RIP ","")&amp;IF(ISNUMBER(SEARCH("SPREADING",Input_Jalan!H62)),"SPR ","")&amp;IF(ISNUMBER(SEARCH("COMPACTING",Input_Jalan!H62)),"CMP ","")&amp;IF(ISNUMBER(SEARCH("PEMADATAN",Input_Jalan!H62)),"CMP ","")&amp;IF(ISNUMBER(SEARCH("DRAINASE",Input_Jalan!H62)),"DRN ","")&amp;IF(ISNUMBER(SEARCH("TANAH DASAR",Input_Jalan!H62)),"SUB ","")&amp;IF(ISNUMBER(SEARCH("BASECOURSE",Input_Jalan!H62)),"BSC ","")&amp;IF(ISNUMBER(SEARCH("PATCHING",Input_Jalan!H62)),"PTH ","")&amp;IF(ISNUMBER(SEARCH("SEMENISASI",Input_Jalan!H62)),"SEM ","")</f>
      </c>
      <c r="P62" s="0">
        <f>IF(I62&gt;0,"AL-DZR ","")&amp;IF(H62&gt;0,"AL-GRD ","")&amp;IF(J62&gt;0,"AL-RLR ","")&amp;IF(K62&gt;0,"AL-EXC ","")&amp;IF(L62&gt;0,"AL-WTR","")</f>
      </c>
    </row>
    <row r="63">
      <c r="A63" s="0">
        <f>Input_Jalan!A63</f>
      </c>
      <c r="B63" s="0">
        <f>Input_Jalan!B63</f>
      </c>
      <c r="C63" s="0">
        <f>Input_Jalan!F63</f>
      </c>
      <c r="D63" s="0">
        <f>Input_Jalan!I63</f>
      </c>
      <c r="E63" s="0">
        <f>Input_Jalan!K63</f>
      </c>
      <c r="F63" s="0">
        <f>Input_Jalan!K63*Asumsi!$B$5*(Input_Jalan!M63+Input_Jalan!N63+Input_Jalan!O63)</f>
      </c>
      <c r="G63" s="0">
        <f>Input_Jalan!I63*Asumsi!$B$7*Asumsi!$B$8*Input_Jalan!L63</f>
      </c>
      <c r="H63" s="0">
        <f>IF(ISNUMBER(SEARCH("GRADING",Input_Jalan!H63)),Input_Jalan!K63/Analisa_Produktivitas!$E$2,0)</f>
      </c>
      <c r="I63" s="0">
        <f>IF(ISNUMBER(SEARCH("RIPPING",Input_Jalan!H63)),=Input_Jalan!K63*Asumsi!$B$5*(Input_Jalan!M63+Input_Jalan!N63+Input_Jalan!O63)/Analisa_Produktivitas!$E$3,0)+IF(ISNUMBER(SEARCH("SPREADING",Input_Jalan!H63)),=Input_Jalan!K63*Asumsi!$B$5*(Input_Jalan!M63+Input_Jalan!N63+Input_Jalan!O63)/Analisa_Produktivitas!$E$4,0)+IF(ISNUMBER(SEARCH("BASECOURSE",Input_Jalan!H63)),=Input_Jalan!K63*Asumsi!$B$5*(Input_Jalan!M63+Input_Jalan!N63+Input_Jalan!O63)/Analisa_Produktivitas!$E$8,0)</f>
      </c>
      <c r="J63" s="0">
        <f>IF(OR(ISNUMBER(SEARCH("COMPACTING",Input_Jalan!H63)),ISNUMBER(SEARCH("PEMADATAN",Input_Jalan!H63))),=Input_Jalan!K63*Asumsi!$B$5*(Input_Jalan!M63+Input_Jalan!N63+Input_Jalan!O63)/Analisa_Produktivitas!$E$5,0)</f>
      </c>
      <c r="K63" s="0">
        <f>IF(ISNUMBER(SEARCH("DRAINASE",Input_Jalan!H63)),=Input_Jalan!I63*Asumsi!$B$7*Asumsi!$B$8*Input_Jalan!L63/Analisa_Produktivitas!$E$6,0)+IF(ISNUMBER(SEARCH("TANAH DASAR",Input_Jalan!H63)),=Input_Jalan!K63*Asumsi!$B$5*(Input_Jalan!M63+Input_Jalan!N63+Input_Jalan!O63)/Analisa_Produktivitas!$E$7,0)+IF(ISNUMBER(SEARCH("PATCHING",Input_Jalan!H63)),=Input_Jalan!K63*Asumsi!$B$5*(Input_Jalan!M63+Input_Jalan!N63+Input_Jalan!O63)/Analisa_Produktivitas!$E$9,0)</f>
      </c>
      <c r="L63" s="0">
        <f>IF(OR(ISNUMBER(SEARCH("COMPACTING",Input_Jalan!H63)),ISNUMBER(SEARCH("PEMADATAN",Input_Jalan!H63))),=Input_Jalan!K63*Asumsi!$B$5*(Input_Jalan!M63+Input_Jalan!N63+Input_Jalan!O63)*Asumsi!$B$9/Asumsi!$R$35,0)</f>
      </c>
      <c r="M63" s="0">
        <f>SUM(H63:L63)</f>
      </c>
      <c r="N63" s="0">
        <f>H63*Asumsi!$S$31+I63*Asumsi!$S$32+J63*Asumsi!$S$33+K63*Asumsi!$S$34+L63*Asumsi!$S$35</f>
      </c>
      <c r="O63" s="0">
        <f>IF(ISNUMBER(SEARCH("GRADING",Input_Jalan!H63)),"GRD ","")&amp;IF(ISNUMBER(SEARCH("RIPPING",Input_Jalan!H63)),"RIP ","")&amp;IF(ISNUMBER(SEARCH("SPREADING",Input_Jalan!H63)),"SPR ","")&amp;IF(ISNUMBER(SEARCH("COMPACTING",Input_Jalan!H63)),"CMP ","")&amp;IF(ISNUMBER(SEARCH("PEMADATAN",Input_Jalan!H63)),"CMP ","")&amp;IF(ISNUMBER(SEARCH("DRAINASE",Input_Jalan!H63)),"DRN ","")&amp;IF(ISNUMBER(SEARCH("TANAH DASAR",Input_Jalan!H63)),"SUB ","")&amp;IF(ISNUMBER(SEARCH("BASECOURSE",Input_Jalan!H63)),"BSC ","")&amp;IF(ISNUMBER(SEARCH("PATCHING",Input_Jalan!H63)),"PTH ","")&amp;IF(ISNUMBER(SEARCH("SEMENISASI",Input_Jalan!H63)),"SEM ","")</f>
      </c>
      <c r="P63" s="0">
        <f>IF(I63&gt;0,"AL-DZR ","")&amp;IF(H63&gt;0,"AL-GRD ","")&amp;IF(J63&gt;0,"AL-RLR ","")&amp;IF(K63&gt;0,"AL-EXC ","")&amp;IF(L63&gt;0,"AL-WTR","")</f>
      </c>
    </row>
    <row r="64">
      <c r="A64" s="0">
        <f>Input_Jalan!A64</f>
      </c>
      <c r="B64" s="0">
        <f>Input_Jalan!B64</f>
      </c>
      <c r="C64" s="0">
        <f>Input_Jalan!F64</f>
      </c>
      <c r="D64" s="0">
        <f>Input_Jalan!I64</f>
      </c>
      <c r="E64" s="0">
        <f>Input_Jalan!K64</f>
      </c>
      <c r="F64" s="0">
        <f>Input_Jalan!K64*Asumsi!$B$5*(Input_Jalan!M64+Input_Jalan!N64+Input_Jalan!O64)</f>
      </c>
      <c r="G64" s="0">
        <f>Input_Jalan!I64*Asumsi!$B$7*Asumsi!$B$8*Input_Jalan!L64</f>
      </c>
      <c r="H64" s="0">
        <f>IF(ISNUMBER(SEARCH("GRADING",Input_Jalan!H64)),Input_Jalan!K64/Analisa_Produktivitas!$E$2,0)</f>
      </c>
      <c r="I64" s="0">
        <f>IF(ISNUMBER(SEARCH("RIPPING",Input_Jalan!H64)),=Input_Jalan!K64*Asumsi!$B$5*(Input_Jalan!M64+Input_Jalan!N64+Input_Jalan!O64)/Analisa_Produktivitas!$E$3,0)+IF(ISNUMBER(SEARCH("SPREADING",Input_Jalan!H64)),=Input_Jalan!K64*Asumsi!$B$5*(Input_Jalan!M64+Input_Jalan!N64+Input_Jalan!O64)/Analisa_Produktivitas!$E$4,0)+IF(ISNUMBER(SEARCH("BASECOURSE",Input_Jalan!H64)),=Input_Jalan!K64*Asumsi!$B$5*(Input_Jalan!M64+Input_Jalan!N64+Input_Jalan!O64)/Analisa_Produktivitas!$E$8,0)</f>
      </c>
      <c r="J64" s="0">
        <f>IF(OR(ISNUMBER(SEARCH("COMPACTING",Input_Jalan!H64)),ISNUMBER(SEARCH("PEMADATAN",Input_Jalan!H64))),=Input_Jalan!K64*Asumsi!$B$5*(Input_Jalan!M64+Input_Jalan!N64+Input_Jalan!O64)/Analisa_Produktivitas!$E$5,0)</f>
      </c>
      <c r="K64" s="0">
        <f>IF(ISNUMBER(SEARCH("DRAINASE",Input_Jalan!H64)),=Input_Jalan!I64*Asumsi!$B$7*Asumsi!$B$8*Input_Jalan!L64/Analisa_Produktivitas!$E$6,0)+IF(ISNUMBER(SEARCH("TANAH DASAR",Input_Jalan!H64)),=Input_Jalan!K64*Asumsi!$B$5*(Input_Jalan!M64+Input_Jalan!N64+Input_Jalan!O64)/Analisa_Produktivitas!$E$7,0)+IF(ISNUMBER(SEARCH("PATCHING",Input_Jalan!H64)),=Input_Jalan!K64*Asumsi!$B$5*(Input_Jalan!M64+Input_Jalan!N64+Input_Jalan!O64)/Analisa_Produktivitas!$E$9,0)</f>
      </c>
      <c r="L64" s="0">
        <f>IF(OR(ISNUMBER(SEARCH("COMPACTING",Input_Jalan!H64)),ISNUMBER(SEARCH("PEMADATAN",Input_Jalan!H64))),=Input_Jalan!K64*Asumsi!$B$5*(Input_Jalan!M64+Input_Jalan!N64+Input_Jalan!O64)*Asumsi!$B$9/Asumsi!$R$35,0)</f>
      </c>
      <c r="M64" s="0">
        <f>SUM(H64:L64)</f>
      </c>
      <c r="N64" s="0">
        <f>H64*Asumsi!$S$31+I64*Asumsi!$S$32+J64*Asumsi!$S$33+K64*Asumsi!$S$34+L64*Asumsi!$S$35</f>
      </c>
      <c r="O64" s="0">
        <f>IF(ISNUMBER(SEARCH("GRADING",Input_Jalan!H64)),"GRD ","")&amp;IF(ISNUMBER(SEARCH("RIPPING",Input_Jalan!H64)),"RIP ","")&amp;IF(ISNUMBER(SEARCH("SPREADING",Input_Jalan!H64)),"SPR ","")&amp;IF(ISNUMBER(SEARCH("COMPACTING",Input_Jalan!H64)),"CMP ","")&amp;IF(ISNUMBER(SEARCH("PEMADATAN",Input_Jalan!H64)),"CMP ","")&amp;IF(ISNUMBER(SEARCH("DRAINASE",Input_Jalan!H64)),"DRN ","")&amp;IF(ISNUMBER(SEARCH("TANAH DASAR",Input_Jalan!H64)),"SUB ","")&amp;IF(ISNUMBER(SEARCH("BASECOURSE",Input_Jalan!H64)),"BSC ","")&amp;IF(ISNUMBER(SEARCH("PATCHING",Input_Jalan!H64)),"PTH ","")&amp;IF(ISNUMBER(SEARCH("SEMENISASI",Input_Jalan!H64)),"SEM ","")</f>
      </c>
      <c r="P64" s="0">
        <f>IF(I64&gt;0,"AL-DZR ","")&amp;IF(H64&gt;0,"AL-GRD ","")&amp;IF(J64&gt;0,"AL-RLR ","")&amp;IF(K64&gt;0,"AL-EXC ","")&amp;IF(L64&gt;0,"AL-WTR","")</f>
      </c>
    </row>
    <row r="65">
      <c r="A65" s="0">
        <f>Input_Jalan!A65</f>
      </c>
      <c r="B65" s="0">
        <f>Input_Jalan!B65</f>
      </c>
      <c r="C65" s="0">
        <f>Input_Jalan!F65</f>
      </c>
      <c r="D65" s="0">
        <f>Input_Jalan!I65</f>
      </c>
      <c r="E65" s="0">
        <f>Input_Jalan!K65</f>
      </c>
      <c r="F65" s="0">
        <f>Input_Jalan!K65*Asumsi!$B$5*(Input_Jalan!M65+Input_Jalan!N65+Input_Jalan!O65)</f>
      </c>
      <c r="G65" s="0">
        <f>Input_Jalan!I65*Asumsi!$B$7*Asumsi!$B$8*Input_Jalan!L65</f>
      </c>
      <c r="H65" s="0">
        <f>IF(ISNUMBER(SEARCH("GRADING",Input_Jalan!H65)),Input_Jalan!K65/Analisa_Produktivitas!$E$2,0)</f>
      </c>
      <c r="I65" s="0">
        <f>IF(ISNUMBER(SEARCH("RIPPING",Input_Jalan!H65)),=Input_Jalan!K65*Asumsi!$B$5*(Input_Jalan!M65+Input_Jalan!N65+Input_Jalan!O65)/Analisa_Produktivitas!$E$3,0)+IF(ISNUMBER(SEARCH("SPREADING",Input_Jalan!H65)),=Input_Jalan!K65*Asumsi!$B$5*(Input_Jalan!M65+Input_Jalan!N65+Input_Jalan!O65)/Analisa_Produktivitas!$E$4,0)+IF(ISNUMBER(SEARCH("BASECOURSE",Input_Jalan!H65)),=Input_Jalan!K65*Asumsi!$B$5*(Input_Jalan!M65+Input_Jalan!N65+Input_Jalan!O65)/Analisa_Produktivitas!$E$8,0)</f>
      </c>
      <c r="J65" s="0">
        <f>IF(OR(ISNUMBER(SEARCH("COMPACTING",Input_Jalan!H65)),ISNUMBER(SEARCH("PEMADATAN",Input_Jalan!H65))),=Input_Jalan!K65*Asumsi!$B$5*(Input_Jalan!M65+Input_Jalan!N65+Input_Jalan!O65)/Analisa_Produktivitas!$E$5,0)</f>
      </c>
      <c r="K65" s="0">
        <f>IF(ISNUMBER(SEARCH("DRAINASE",Input_Jalan!H65)),=Input_Jalan!I65*Asumsi!$B$7*Asumsi!$B$8*Input_Jalan!L65/Analisa_Produktivitas!$E$6,0)+IF(ISNUMBER(SEARCH("TANAH DASAR",Input_Jalan!H65)),=Input_Jalan!K65*Asumsi!$B$5*(Input_Jalan!M65+Input_Jalan!N65+Input_Jalan!O65)/Analisa_Produktivitas!$E$7,0)+IF(ISNUMBER(SEARCH("PATCHING",Input_Jalan!H65)),=Input_Jalan!K65*Asumsi!$B$5*(Input_Jalan!M65+Input_Jalan!N65+Input_Jalan!O65)/Analisa_Produktivitas!$E$9,0)</f>
      </c>
      <c r="L65" s="0">
        <f>IF(OR(ISNUMBER(SEARCH("COMPACTING",Input_Jalan!H65)),ISNUMBER(SEARCH("PEMADATAN",Input_Jalan!H65))),=Input_Jalan!K65*Asumsi!$B$5*(Input_Jalan!M65+Input_Jalan!N65+Input_Jalan!O65)*Asumsi!$B$9/Asumsi!$R$35,0)</f>
      </c>
      <c r="M65" s="0">
        <f>SUM(H65:L65)</f>
      </c>
      <c r="N65" s="0">
        <f>H65*Asumsi!$S$31+I65*Asumsi!$S$32+J65*Asumsi!$S$33+K65*Asumsi!$S$34+L65*Asumsi!$S$35</f>
      </c>
      <c r="O65" s="0">
        <f>IF(ISNUMBER(SEARCH("GRADING",Input_Jalan!H65)),"GRD ","")&amp;IF(ISNUMBER(SEARCH("RIPPING",Input_Jalan!H65)),"RIP ","")&amp;IF(ISNUMBER(SEARCH("SPREADING",Input_Jalan!H65)),"SPR ","")&amp;IF(ISNUMBER(SEARCH("COMPACTING",Input_Jalan!H65)),"CMP ","")&amp;IF(ISNUMBER(SEARCH("PEMADATAN",Input_Jalan!H65)),"CMP ","")&amp;IF(ISNUMBER(SEARCH("DRAINASE",Input_Jalan!H65)),"DRN ","")&amp;IF(ISNUMBER(SEARCH("TANAH DASAR",Input_Jalan!H65)),"SUB ","")&amp;IF(ISNUMBER(SEARCH("BASECOURSE",Input_Jalan!H65)),"BSC ","")&amp;IF(ISNUMBER(SEARCH("PATCHING",Input_Jalan!H65)),"PTH ","")&amp;IF(ISNUMBER(SEARCH("SEMENISASI",Input_Jalan!H65)),"SEM ","")</f>
      </c>
      <c r="P65" s="0">
        <f>IF(I65&gt;0,"AL-DZR ","")&amp;IF(H65&gt;0,"AL-GRD ","")&amp;IF(J65&gt;0,"AL-RLR ","")&amp;IF(K65&gt;0,"AL-EXC ","")&amp;IF(L65&gt;0,"AL-WTR","")</f>
      </c>
    </row>
    <row r="66">
      <c r="A66" s="0">
        <f>Input_Jalan!A66</f>
      </c>
      <c r="B66" s="0">
        <f>Input_Jalan!B66</f>
      </c>
      <c r="C66" s="0">
        <f>Input_Jalan!F66</f>
      </c>
      <c r="D66" s="0">
        <f>Input_Jalan!I66</f>
      </c>
      <c r="E66" s="0">
        <f>Input_Jalan!K66</f>
      </c>
      <c r="F66" s="0">
        <f>Input_Jalan!K66*Asumsi!$B$5*(Input_Jalan!M66+Input_Jalan!N66+Input_Jalan!O66)</f>
      </c>
      <c r="G66" s="0">
        <f>Input_Jalan!I66*Asumsi!$B$7*Asumsi!$B$8*Input_Jalan!L66</f>
      </c>
      <c r="H66" s="0">
        <f>IF(ISNUMBER(SEARCH("GRADING",Input_Jalan!H66)),Input_Jalan!K66/Analisa_Produktivitas!$E$2,0)</f>
      </c>
      <c r="I66" s="0">
        <f>IF(ISNUMBER(SEARCH("RIPPING",Input_Jalan!H66)),=Input_Jalan!K66*Asumsi!$B$5*(Input_Jalan!M66+Input_Jalan!N66+Input_Jalan!O66)/Analisa_Produktivitas!$E$3,0)+IF(ISNUMBER(SEARCH("SPREADING",Input_Jalan!H66)),=Input_Jalan!K66*Asumsi!$B$5*(Input_Jalan!M66+Input_Jalan!N66+Input_Jalan!O66)/Analisa_Produktivitas!$E$4,0)+IF(ISNUMBER(SEARCH("BASECOURSE",Input_Jalan!H66)),=Input_Jalan!K66*Asumsi!$B$5*(Input_Jalan!M66+Input_Jalan!N66+Input_Jalan!O66)/Analisa_Produktivitas!$E$8,0)</f>
      </c>
      <c r="J66" s="0">
        <f>IF(OR(ISNUMBER(SEARCH("COMPACTING",Input_Jalan!H66)),ISNUMBER(SEARCH("PEMADATAN",Input_Jalan!H66))),=Input_Jalan!K66*Asumsi!$B$5*(Input_Jalan!M66+Input_Jalan!N66+Input_Jalan!O66)/Analisa_Produktivitas!$E$5,0)</f>
      </c>
      <c r="K66" s="0">
        <f>IF(ISNUMBER(SEARCH("DRAINASE",Input_Jalan!H66)),=Input_Jalan!I66*Asumsi!$B$7*Asumsi!$B$8*Input_Jalan!L66/Analisa_Produktivitas!$E$6,0)+IF(ISNUMBER(SEARCH("TANAH DASAR",Input_Jalan!H66)),=Input_Jalan!K66*Asumsi!$B$5*(Input_Jalan!M66+Input_Jalan!N66+Input_Jalan!O66)/Analisa_Produktivitas!$E$7,0)+IF(ISNUMBER(SEARCH("PATCHING",Input_Jalan!H66)),=Input_Jalan!K66*Asumsi!$B$5*(Input_Jalan!M66+Input_Jalan!N66+Input_Jalan!O66)/Analisa_Produktivitas!$E$9,0)</f>
      </c>
      <c r="L66" s="0">
        <f>IF(OR(ISNUMBER(SEARCH("COMPACTING",Input_Jalan!H66)),ISNUMBER(SEARCH("PEMADATAN",Input_Jalan!H66))),=Input_Jalan!K66*Asumsi!$B$5*(Input_Jalan!M66+Input_Jalan!N66+Input_Jalan!O66)*Asumsi!$B$9/Asumsi!$R$35,0)</f>
      </c>
      <c r="M66" s="0">
        <f>SUM(H66:L66)</f>
      </c>
      <c r="N66" s="0">
        <f>H66*Asumsi!$S$31+I66*Asumsi!$S$32+J66*Asumsi!$S$33+K66*Asumsi!$S$34+L66*Asumsi!$S$35</f>
      </c>
      <c r="O66" s="0">
        <f>IF(ISNUMBER(SEARCH("GRADING",Input_Jalan!H66)),"GRD ","")&amp;IF(ISNUMBER(SEARCH("RIPPING",Input_Jalan!H66)),"RIP ","")&amp;IF(ISNUMBER(SEARCH("SPREADING",Input_Jalan!H66)),"SPR ","")&amp;IF(ISNUMBER(SEARCH("COMPACTING",Input_Jalan!H66)),"CMP ","")&amp;IF(ISNUMBER(SEARCH("PEMADATAN",Input_Jalan!H66)),"CMP ","")&amp;IF(ISNUMBER(SEARCH("DRAINASE",Input_Jalan!H66)),"DRN ","")&amp;IF(ISNUMBER(SEARCH("TANAH DASAR",Input_Jalan!H66)),"SUB ","")&amp;IF(ISNUMBER(SEARCH("BASECOURSE",Input_Jalan!H66)),"BSC ","")&amp;IF(ISNUMBER(SEARCH("PATCHING",Input_Jalan!H66)),"PTH ","")&amp;IF(ISNUMBER(SEARCH("SEMENISASI",Input_Jalan!H66)),"SEM ","")</f>
      </c>
      <c r="P66" s="0">
        <f>IF(I66&gt;0,"AL-DZR ","")&amp;IF(H66&gt;0,"AL-GRD ","")&amp;IF(J66&gt;0,"AL-RLR ","")&amp;IF(K66&gt;0,"AL-EXC ","")&amp;IF(L66&gt;0,"AL-WTR","")</f>
      </c>
    </row>
    <row r="67">
      <c r="A67" s="0">
        <f>Input_Jalan!A67</f>
      </c>
      <c r="B67" s="0">
        <f>Input_Jalan!B67</f>
      </c>
      <c r="C67" s="0">
        <f>Input_Jalan!F67</f>
      </c>
      <c r="D67" s="0">
        <f>Input_Jalan!I67</f>
      </c>
      <c r="E67" s="0">
        <f>Input_Jalan!K67</f>
      </c>
      <c r="F67" s="0">
        <f>Input_Jalan!K67*Asumsi!$B$5*(Input_Jalan!M67+Input_Jalan!N67+Input_Jalan!O67)</f>
      </c>
      <c r="G67" s="0">
        <f>Input_Jalan!I67*Asumsi!$B$7*Asumsi!$B$8*Input_Jalan!L67</f>
      </c>
      <c r="H67" s="0">
        <f>IF(ISNUMBER(SEARCH("GRADING",Input_Jalan!H67)),Input_Jalan!K67/Analisa_Produktivitas!$E$2,0)</f>
      </c>
      <c r="I67" s="0">
        <f>IF(ISNUMBER(SEARCH("RIPPING",Input_Jalan!H67)),=Input_Jalan!K67*Asumsi!$B$5*(Input_Jalan!M67+Input_Jalan!N67+Input_Jalan!O67)/Analisa_Produktivitas!$E$3,0)+IF(ISNUMBER(SEARCH("SPREADING",Input_Jalan!H67)),=Input_Jalan!K67*Asumsi!$B$5*(Input_Jalan!M67+Input_Jalan!N67+Input_Jalan!O67)/Analisa_Produktivitas!$E$4,0)+IF(ISNUMBER(SEARCH("BASECOURSE",Input_Jalan!H67)),=Input_Jalan!K67*Asumsi!$B$5*(Input_Jalan!M67+Input_Jalan!N67+Input_Jalan!O67)/Analisa_Produktivitas!$E$8,0)</f>
      </c>
      <c r="J67" s="0">
        <f>IF(OR(ISNUMBER(SEARCH("COMPACTING",Input_Jalan!H67)),ISNUMBER(SEARCH("PEMADATAN",Input_Jalan!H67))),=Input_Jalan!K67*Asumsi!$B$5*(Input_Jalan!M67+Input_Jalan!N67+Input_Jalan!O67)/Analisa_Produktivitas!$E$5,0)</f>
      </c>
      <c r="K67" s="0">
        <f>IF(ISNUMBER(SEARCH("DRAINASE",Input_Jalan!H67)),=Input_Jalan!I67*Asumsi!$B$7*Asumsi!$B$8*Input_Jalan!L67/Analisa_Produktivitas!$E$6,0)+IF(ISNUMBER(SEARCH("TANAH DASAR",Input_Jalan!H67)),=Input_Jalan!K67*Asumsi!$B$5*(Input_Jalan!M67+Input_Jalan!N67+Input_Jalan!O67)/Analisa_Produktivitas!$E$7,0)+IF(ISNUMBER(SEARCH("PATCHING",Input_Jalan!H67)),=Input_Jalan!K67*Asumsi!$B$5*(Input_Jalan!M67+Input_Jalan!N67+Input_Jalan!O67)/Analisa_Produktivitas!$E$9,0)</f>
      </c>
      <c r="L67" s="0">
        <f>IF(OR(ISNUMBER(SEARCH("COMPACTING",Input_Jalan!H67)),ISNUMBER(SEARCH("PEMADATAN",Input_Jalan!H67))),=Input_Jalan!K67*Asumsi!$B$5*(Input_Jalan!M67+Input_Jalan!N67+Input_Jalan!O67)*Asumsi!$B$9/Asumsi!$R$35,0)</f>
      </c>
      <c r="M67" s="0">
        <f>SUM(H67:L67)</f>
      </c>
      <c r="N67" s="0">
        <f>H67*Asumsi!$S$31+I67*Asumsi!$S$32+J67*Asumsi!$S$33+K67*Asumsi!$S$34+L67*Asumsi!$S$35</f>
      </c>
      <c r="O67" s="0">
        <f>IF(ISNUMBER(SEARCH("GRADING",Input_Jalan!H67)),"GRD ","")&amp;IF(ISNUMBER(SEARCH("RIPPING",Input_Jalan!H67)),"RIP ","")&amp;IF(ISNUMBER(SEARCH("SPREADING",Input_Jalan!H67)),"SPR ","")&amp;IF(ISNUMBER(SEARCH("COMPACTING",Input_Jalan!H67)),"CMP ","")&amp;IF(ISNUMBER(SEARCH("PEMADATAN",Input_Jalan!H67)),"CMP ","")&amp;IF(ISNUMBER(SEARCH("DRAINASE",Input_Jalan!H67)),"DRN ","")&amp;IF(ISNUMBER(SEARCH("TANAH DASAR",Input_Jalan!H67)),"SUB ","")&amp;IF(ISNUMBER(SEARCH("BASECOURSE",Input_Jalan!H67)),"BSC ","")&amp;IF(ISNUMBER(SEARCH("PATCHING",Input_Jalan!H67)),"PTH ","")&amp;IF(ISNUMBER(SEARCH("SEMENISASI",Input_Jalan!H67)),"SEM ","")</f>
      </c>
      <c r="P67" s="0">
        <f>IF(I67&gt;0,"AL-DZR ","")&amp;IF(H67&gt;0,"AL-GRD ","")&amp;IF(J67&gt;0,"AL-RLR ","")&amp;IF(K67&gt;0,"AL-EXC ","")&amp;IF(L67&gt;0,"AL-WTR","")</f>
      </c>
    </row>
    <row r="68">
      <c r="A68" s="0">
        <f>Input_Jalan!A68</f>
      </c>
      <c r="B68" s="0">
        <f>Input_Jalan!B68</f>
      </c>
      <c r="C68" s="0">
        <f>Input_Jalan!F68</f>
      </c>
      <c r="D68" s="0">
        <f>Input_Jalan!I68</f>
      </c>
      <c r="E68" s="0">
        <f>Input_Jalan!K68</f>
      </c>
      <c r="F68" s="0">
        <f>Input_Jalan!K68*Asumsi!$B$5*(Input_Jalan!M68+Input_Jalan!N68+Input_Jalan!O68)</f>
      </c>
      <c r="G68" s="0">
        <f>Input_Jalan!I68*Asumsi!$B$7*Asumsi!$B$8*Input_Jalan!L68</f>
      </c>
      <c r="H68" s="0">
        <f>IF(ISNUMBER(SEARCH("GRADING",Input_Jalan!H68)),Input_Jalan!K68/Analisa_Produktivitas!$E$2,0)</f>
      </c>
      <c r="I68" s="0">
        <f>IF(ISNUMBER(SEARCH("RIPPING",Input_Jalan!H68)),=Input_Jalan!K68*Asumsi!$B$5*(Input_Jalan!M68+Input_Jalan!N68+Input_Jalan!O68)/Analisa_Produktivitas!$E$3,0)+IF(ISNUMBER(SEARCH("SPREADING",Input_Jalan!H68)),=Input_Jalan!K68*Asumsi!$B$5*(Input_Jalan!M68+Input_Jalan!N68+Input_Jalan!O68)/Analisa_Produktivitas!$E$4,0)+IF(ISNUMBER(SEARCH("BASECOURSE",Input_Jalan!H68)),=Input_Jalan!K68*Asumsi!$B$5*(Input_Jalan!M68+Input_Jalan!N68+Input_Jalan!O68)/Analisa_Produktivitas!$E$8,0)</f>
      </c>
      <c r="J68" s="0">
        <f>IF(OR(ISNUMBER(SEARCH("COMPACTING",Input_Jalan!H68)),ISNUMBER(SEARCH("PEMADATAN",Input_Jalan!H68))),=Input_Jalan!K68*Asumsi!$B$5*(Input_Jalan!M68+Input_Jalan!N68+Input_Jalan!O68)/Analisa_Produktivitas!$E$5,0)</f>
      </c>
      <c r="K68" s="0">
        <f>IF(ISNUMBER(SEARCH("DRAINASE",Input_Jalan!H68)),=Input_Jalan!I68*Asumsi!$B$7*Asumsi!$B$8*Input_Jalan!L68/Analisa_Produktivitas!$E$6,0)+IF(ISNUMBER(SEARCH("TANAH DASAR",Input_Jalan!H68)),=Input_Jalan!K68*Asumsi!$B$5*(Input_Jalan!M68+Input_Jalan!N68+Input_Jalan!O68)/Analisa_Produktivitas!$E$7,0)+IF(ISNUMBER(SEARCH("PATCHING",Input_Jalan!H68)),=Input_Jalan!K68*Asumsi!$B$5*(Input_Jalan!M68+Input_Jalan!N68+Input_Jalan!O68)/Analisa_Produktivitas!$E$9,0)</f>
      </c>
      <c r="L68" s="0">
        <f>IF(OR(ISNUMBER(SEARCH("COMPACTING",Input_Jalan!H68)),ISNUMBER(SEARCH("PEMADATAN",Input_Jalan!H68))),=Input_Jalan!K68*Asumsi!$B$5*(Input_Jalan!M68+Input_Jalan!N68+Input_Jalan!O68)*Asumsi!$B$9/Asumsi!$R$35,0)</f>
      </c>
      <c r="M68" s="0">
        <f>SUM(H68:L68)</f>
      </c>
      <c r="N68" s="0">
        <f>H68*Asumsi!$S$31+I68*Asumsi!$S$32+J68*Asumsi!$S$33+K68*Asumsi!$S$34+L68*Asumsi!$S$35</f>
      </c>
      <c r="O68" s="0">
        <f>IF(ISNUMBER(SEARCH("GRADING",Input_Jalan!H68)),"GRD ","")&amp;IF(ISNUMBER(SEARCH("RIPPING",Input_Jalan!H68)),"RIP ","")&amp;IF(ISNUMBER(SEARCH("SPREADING",Input_Jalan!H68)),"SPR ","")&amp;IF(ISNUMBER(SEARCH("COMPACTING",Input_Jalan!H68)),"CMP ","")&amp;IF(ISNUMBER(SEARCH("PEMADATAN",Input_Jalan!H68)),"CMP ","")&amp;IF(ISNUMBER(SEARCH("DRAINASE",Input_Jalan!H68)),"DRN ","")&amp;IF(ISNUMBER(SEARCH("TANAH DASAR",Input_Jalan!H68)),"SUB ","")&amp;IF(ISNUMBER(SEARCH("BASECOURSE",Input_Jalan!H68)),"BSC ","")&amp;IF(ISNUMBER(SEARCH("PATCHING",Input_Jalan!H68)),"PTH ","")&amp;IF(ISNUMBER(SEARCH("SEMENISASI",Input_Jalan!H68)),"SEM ","")</f>
      </c>
      <c r="P68" s="0">
        <f>IF(I68&gt;0,"AL-DZR ","")&amp;IF(H68&gt;0,"AL-GRD ","")&amp;IF(J68&gt;0,"AL-RLR ","")&amp;IF(K68&gt;0,"AL-EXC ","")&amp;IF(L68&gt;0,"AL-WTR","")</f>
      </c>
    </row>
    <row r="69">
      <c r="A69" s="0">
        <f>Input_Jalan!A69</f>
      </c>
      <c r="B69" s="0">
        <f>Input_Jalan!B69</f>
      </c>
      <c r="C69" s="0">
        <f>Input_Jalan!F69</f>
      </c>
      <c r="D69" s="0">
        <f>Input_Jalan!I69</f>
      </c>
      <c r="E69" s="0">
        <f>Input_Jalan!K69</f>
      </c>
      <c r="F69" s="0">
        <f>Input_Jalan!K69*Asumsi!$B$5*(Input_Jalan!M69+Input_Jalan!N69+Input_Jalan!O69)</f>
      </c>
      <c r="G69" s="0">
        <f>Input_Jalan!I69*Asumsi!$B$7*Asumsi!$B$8*Input_Jalan!L69</f>
      </c>
      <c r="H69" s="0">
        <f>IF(ISNUMBER(SEARCH("GRADING",Input_Jalan!H69)),Input_Jalan!K69/Analisa_Produktivitas!$E$2,0)</f>
      </c>
      <c r="I69" s="0">
        <f>IF(ISNUMBER(SEARCH("RIPPING",Input_Jalan!H69)),=Input_Jalan!K69*Asumsi!$B$5*(Input_Jalan!M69+Input_Jalan!N69+Input_Jalan!O69)/Analisa_Produktivitas!$E$3,0)+IF(ISNUMBER(SEARCH("SPREADING",Input_Jalan!H69)),=Input_Jalan!K69*Asumsi!$B$5*(Input_Jalan!M69+Input_Jalan!N69+Input_Jalan!O69)/Analisa_Produktivitas!$E$4,0)+IF(ISNUMBER(SEARCH("BASECOURSE",Input_Jalan!H69)),=Input_Jalan!K69*Asumsi!$B$5*(Input_Jalan!M69+Input_Jalan!N69+Input_Jalan!O69)/Analisa_Produktivitas!$E$8,0)</f>
      </c>
      <c r="J69" s="0">
        <f>IF(OR(ISNUMBER(SEARCH("COMPACTING",Input_Jalan!H69)),ISNUMBER(SEARCH("PEMADATAN",Input_Jalan!H69))),=Input_Jalan!K69*Asumsi!$B$5*(Input_Jalan!M69+Input_Jalan!N69+Input_Jalan!O69)/Analisa_Produktivitas!$E$5,0)</f>
      </c>
      <c r="K69" s="0">
        <f>IF(ISNUMBER(SEARCH("DRAINASE",Input_Jalan!H69)),=Input_Jalan!I69*Asumsi!$B$7*Asumsi!$B$8*Input_Jalan!L69/Analisa_Produktivitas!$E$6,0)+IF(ISNUMBER(SEARCH("TANAH DASAR",Input_Jalan!H69)),=Input_Jalan!K69*Asumsi!$B$5*(Input_Jalan!M69+Input_Jalan!N69+Input_Jalan!O69)/Analisa_Produktivitas!$E$7,0)+IF(ISNUMBER(SEARCH("PATCHING",Input_Jalan!H69)),=Input_Jalan!K69*Asumsi!$B$5*(Input_Jalan!M69+Input_Jalan!N69+Input_Jalan!O69)/Analisa_Produktivitas!$E$9,0)</f>
      </c>
      <c r="L69" s="0">
        <f>IF(OR(ISNUMBER(SEARCH("COMPACTING",Input_Jalan!H69)),ISNUMBER(SEARCH("PEMADATAN",Input_Jalan!H69))),=Input_Jalan!K69*Asumsi!$B$5*(Input_Jalan!M69+Input_Jalan!N69+Input_Jalan!O69)*Asumsi!$B$9/Asumsi!$R$35,0)</f>
      </c>
      <c r="M69" s="0">
        <f>SUM(H69:L69)</f>
      </c>
      <c r="N69" s="0">
        <f>H69*Asumsi!$S$31+I69*Asumsi!$S$32+J69*Asumsi!$S$33+K69*Asumsi!$S$34+L69*Asumsi!$S$35</f>
      </c>
      <c r="O69" s="0">
        <f>IF(ISNUMBER(SEARCH("GRADING",Input_Jalan!H69)),"GRD ","")&amp;IF(ISNUMBER(SEARCH("RIPPING",Input_Jalan!H69)),"RIP ","")&amp;IF(ISNUMBER(SEARCH("SPREADING",Input_Jalan!H69)),"SPR ","")&amp;IF(ISNUMBER(SEARCH("COMPACTING",Input_Jalan!H69)),"CMP ","")&amp;IF(ISNUMBER(SEARCH("PEMADATAN",Input_Jalan!H69)),"CMP ","")&amp;IF(ISNUMBER(SEARCH("DRAINASE",Input_Jalan!H69)),"DRN ","")&amp;IF(ISNUMBER(SEARCH("TANAH DASAR",Input_Jalan!H69)),"SUB ","")&amp;IF(ISNUMBER(SEARCH("BASECOURSE",Input_Jalan!H69)),"BSC ","")&amp;IF(ISNUMBER(SEARCH("PATCHING",Input_Jalan!H69)),"PTH ","")&amp;IF(ISNUMBER(SEARCH("SEMENISASI",Input_Jalan!H69)),"SEM ","")</f>
      </c>
      <c r="P69" s="0">
        <f>IF(I69&gt;0,"AL-DZR ","")&amp;IF(H69&gt;0,"AL-GRD ","")&amp;IF(J69&gt;0,"AL-RLR ","")&amp;IF(K69&gt;0,"AL-EXC ","")&amp;IF(L69&gt;0,"AL-WTR","")</f>
      </c>
    </row>
    <row r="70">
      <c r="A70" s="0">
        <f>Input_Jalan!A70</f>
      </c>
      <c r="B70" s="0">
        <f>Input_Jalan!B70</f>
      </c>
      <c r="C70" s="0">
        <f>Input_Jalan!F70</f>
      </c>
      <c r="D70" s="0">
        <f>Input_Jalan!I70</f>
      </c>
      <c r="E70" s="0">
        <f>Input_Jalan!K70</f>
      </c>
      <c r="F70" s="0">
        <f>Input_Jalan!K70*Asumsi!$B$5*(Input_Jalan!M70+Input_Jalan!N70+Input_Jalan!O70)</f>
      </c>
      <c r="G70" s="0">
        <f>Input_Jalan!I70*Asumsi!$B$7*Asumsi!$B$8*Input_Jalan!L70</f>
      </c>
      <c r="H70" s="0">
        <f>IF(ISNUMBER(SEARCH("GRADING",Input_Jalan!H70)),Input_Jalan!K70/Analisa_Produktivitas!$E$2,0)</f>
      </c>
      <c r="I70" s="0">
        <f>IF(ISNUMBER(SEARCH("RIPPING",Input_Jalan!H70)),=Input_Jalan!K70*Asumsi!$B$5*(Input_Jalan!M70+Input_Jalan!N70+Input_Jalan!O70)/Analisa_Produktivitas!$E$3,0)+IF(ISNUMBER(SEARCH("SPREADING",Input_Jalan!H70)),=Input_Jalan!K70*Asumsi!$B$5*(Input_Jalan!M70+Input_Jalan!N70+Input_Jalan!O70)/Analisa_Produktivitas!$E$4,0)+IF(ISNUMBER(SEARCH("BASECOURSE",Input_Jalan!H70)),=Input_Jalan!K70*Asumsi!$B$5*(Input_Jalan!M70+Input_Jalan!N70+Input_Jalan!O70)/Analisa_Produktivitas!$E$8,0)</f>
      </c>
      <c r="J70" s="0">
        <f>IF(OR(ISNUMBER(SEARCH("COMPACTING",Input_Jalan!H70)),ISNUMBER(SEARCH("PEMADATAN",Input_Jalan!H70))),=Input_Jalan!K70*Asumsi!$B$5*(Input_Jalan!M70+Input_Jalan!N70+Input_Jalan!O70)/Analisa_Produktivitas!$E$5,0)</f>
      </c>
      <c r="K70" s="0">
        <f>IF(ISNUMBER(SEARCH("DRAINASE",Input_Jalan!H70)),=Input_Jalan!I70*Asumsi!$B$7*Asumsi!$B$8*Input_Jalan!L70/Analisa_Produktivitas!$E$6,0)+IF(ISNUMBER(SEARCH("TANAH DASAR",Input_Jalan!H70)),=Input_Jalan!K70*Asumsi!$B$5*(Input_Jalan!M70+Input_Jalan!N70+Input_Jalan!O70)/Analisa_Produktivitas!$E$7,0)+IF(ISNUMBER(SEARCH("PATCHING",Input_Jalan!H70)),=Input_Jalan!K70*Asumsi!$B$5*(Input_Jalan!M70+Input_Jalan!N70+Input_Jalan!O70)/Analisa_Produktivitas!$E$9,0)</f>
      </c>
      <c r="L70" s="0">
        <f>IF(OR(ISNUMBER(SEARCH("COMPACTING",Input_Jalan!H70)),ISNUMBER(SEARCH("PEMADATAN",Input_Jalan!H70))),=Input_Jalan!K70*Asumsi!$B$5*(Input_Jalan!M70+Input_Jalan!N70+Input_Jalan!O70)*Asumsi!$B$9/Asumsi!$R$35,0)</f>
      </c>
      <c r="M70" s="0">
        <f>SUM(H70:L70)</f>
      </c>
      <c r="N70" s="0">
        <f>H70*Asumsi!$S$31+I70*Asumsi!$S$32+J70*Asumsi!$S$33+K70*Asumsi!$S$34+L70*Asumsi!$S$35</f>
      </c>
      <c r="O70" s="0">
        <f>IF(ISNUMBER(SEARCH("GRADING",Input_Jalan!H70)),"GRD ","")&amp;IF(ISNUMBER(SEARCH("RIPPING",Input_Jalan!H70)),"RIP ","")&amp;IF(ISNUMBER(SEARCH("SPREADING",Input_Jalan!H70)),"SPR ","")&amp;IF(ISNUMBER(SEARCH("COMPACTING",Input_Jalan!H70)),"CMP ","")&amp;IF(ISNUMBER(SEARCH("PEMADATAN",Input_Jalan!H70)),"CMP ","")&amp;IF(ISNUMBER(SEARCH("DRAINASE",Input_Jalan!H70)),"DRN ","")&amp;IF(ISNUMBER(SEARCH("TANAH DASAR",Input_Jalan!H70)),"SUB ","")&amp;IF(ISNUMBER(SEARCH("BASECOURSE",Input_Jalan!H70)),"BSC ","")&amp;IF(ISNUMBER(SEARCH("PATCHING",Input_Jalan!H70)),"PTH ","")&amp;IF(ISNUMBER(SEARCH("SEMENISASI",Input_Jalan!H70)),"SEM ","")</f>
      </c>
      <c r="P70" s="0">
        <f>IF(I70&gt;0,"AL-DZR ","")&amp;IF(H70&gt;0,"AL-GRD ","")&amp;IF(J70&gt;0,"AL-RLR ","")&amp;IF(K70&gt;0,"AL-EXC ","")&amp;IF(L70&gt;0,"AL-WTR","")</f>
      </c>
    </row>
    <row r="71">
      <c r="A71" s="0">
        <f>Input_Jalan!A71</f>
      </c>
      <c r="B71" s="0">
        <f>Input_Jalan!B71</f>
      </c>
      <c r="C71" s="0">
        <f>Input_Jalan!F71</f>
      </c>
      <c r="D71" s="0">
        <f>Input_Jalan!I71</f>
      </c>
      <c r="E71" s="0">
        <f>Input_Jalan!K71</f>
      </c>
      <c r="F71" s="0">
        <f>Input_Jalan!K71*Asumsi!$B$5*(Input_Jalan!M71+Input_Jalan!N71+Input_Jalan!O71)</f>
      </c>
      <c r="G71" s="0">
        <f>Input_Jalan!I71*Asumsi!$B$7*Asumsi!$B$8*Input_Jalan!L71</f>
      </c>
      <c r="H71" s="0">
        <f>IF(ISNUMBER(SEARCH("GRADING",Input_Jalan!H71)),Input_Jalan!K71/Analisa_Produktivitas!$E$2,0)</f>
      </c>
      <c r="I71" s="0">
        <f>IF(ISNUMBER(SEARCH("RIPPING",Input_Jalan!H71)),=Input_Jalan!K71*Asumsi!$B$5*(Input_Jalan!M71+Input_Jalan!N71+Input_Jalan!O71)/Analisa_Produktivitas!$E$3,0)+IF(ISNUMBER(SEARCH("SPREADING",Input_Jalan!H71)),=Input_Jalan!K71*Asumsi!$B$5*(Input_Jalan!M71+Input_Jalan!N71+Input_Jalan!O71)/Analisa_Produktivitas!$E$4,0)+IF(ISNUMBER(SEARCH("BASECOURSE",Input_Jalan!H71)),=Input_Jalan!K71*Asumsi!$B$5*(Input_Jalan!M71+Input_Jalan!N71+Input_Jalan!O71)/Analisa_Produktivitas!$E$8,0)</f>
      </c>
      <c r="J71" s="0">
        <f>IF(OR(ISNUMBER(SEARCH("COMPACTING",Input_Jalan!H71)),ISNUMBER(SEARCH("PEMADATAN",Input_Jalan!H71))),=Input_Jalan!K71*Asumsi!$B$5*(Input_Jalan!M71+Input_Jalan!N71+Input_Jalan!O71)/Analisa_Produktivitas!$E$5,0)</f>
      </c>
      <c r="K71" s="0">
        <f>IF(ISNUMBER(SEARCH("DRAINASE",Input_Jalan!H71)),=Input_Jalan!I71*Asumsi!$B$7*Asumsi!$B$8*Input_Jalan!L71/Analisa_Produktivitas!$E$6,0)+IF(ISNUMBER(SEARCH("TANAH DASAR",Input_Jalan!H71)),=Input_Jalan!K71*Asumsi!$B$5*(Input_Jalan!M71+Input_Jalan!N71+Input_Jalan!O71)/Analisa_Produktivitas!$E$7,0)+IF(ISNUMBER(SEARCH("PATCHING",Input_Jalan!H71)),=Input_Jalan!K71*Asumsi!$B$5*(Input_Jalan!M71+Input_Jalan!N71+Input_Jalan!O71)/Analisa_Produktivitas!$E$9,0)</f>
      </c>
      <c r="L71" s="0">
        <f>IF(OR(ISNUMBER(SEARCH("COMPACTING",Input_Jalan!H71)),ISNUMBER(SEARCH("PEMADATAN",Input_Jalan!H71))),=Input_Jalan!K71*Asumsi!$B$5*(Input_Jalan!M71+Input_Jalan!N71+Input_Jalan!O71)*Asumsi!$B$9/Asumsi!$R$35,0)</f>
      </c>
      <c r="M71" s="0">
        <f>SUM(H71:L71)</f>
      </c>
      <c r="N71" s="0">
        <f>H71*Asumsi!$S$31+I71*Asumsi!$S$32+J71*Asumsi!$S$33+K71*Asumsi!$S$34+L71*Asumsi!$S$35</f>
      </c>
      <c r="O71" s="0">
        <f>IF(ISNUMBER(SEARCH("GRADING",Input_Jalan!H71)),"GRD ","")&amp;IF(ISNUMBER(SEARCH("RIPPING",Input_Jalan!H71)),"RIP ","")&amp;IF(ISNUMBER(SEARCH("SPREADING",Input_Jalan!H71)),"SPR ","")&amp;IF(ISNUMBER(SEARCH("COMPACTING",Input_Jalan!H71)),"CMP ","")&amp;IF(ISNUMBER(SEARCH("PEMADATAN",Input_Jalan!H71)),"CMP ","")&amp;IF(ISNUMBER(SEARCH("DRAINASE",Input_Jalan!H71)),"DRN ","")&amp;IF(ISNUMBER(SEARCH("TANAH DASAR",Input_Jalan!H71)),"SUB ","")&amp;IF(ISNUMBER(SEARCH("BASECOURSE",Input_Jalan!H71)),"BSC ","")&amp;IF(ISNUMBER(SEARCH("PATCHING",Input_Jalan!H71)),"PTH ","")&amp;IF(ISNUMBER(SEARCH("SEMENISASI",Input_Jalan!H71)),"SEM ","")</f>
      </c>
      <c r="P71" s="0">
        <f>IF(I71&gt;0,"AL-DZR ","")&amp;IF(H71&gt;0,"AL-GRD ","")&amp;IF(J71&gt;0,"AL-RLR ","")&amp;IF(K71&gt;0,"AL-EXC ","")&amp;IF(L71&gt;0,"AL-WTR","")</f>
      </c>
    </row>
    <row r="72">
      <c r="A72" s="0">
        <f>Input_Jalan!A72</f>
      </c>
      <c r="B72" s="0">
        <f>Input_Jalan!B72</f>
      </c>
      <c r="C72" s="0">
        <f>Input_Jalan!F72</f>
      </c>
      <c r="D72" s="0">
        <f>Input_Jalan!I72</f>
      </c>
      <c r="E72" s="0">
        <f>Input_Jalan!K72</f>
      </c>
      <c r="F72" s="0">
        <f>Input_Jalan!K72*Asumsi!$B$5*(Input_Jalan!M72+Input_Jalan!N72+Input_Jalan!O72)</f>
      </c>
      <c r="G72" s="0">
        <f>Input_Jalan!I72*Asumsi!$B$7*Asumsi!$B$8*Input_Jalan!L72</f>
      </c>
      <c r="H72" s="0">
        <f>IF(ISNUMBER(SEARCH("GRADING",Input_Jalan!H72)),Input_Jalan!K72/Analisa_Produktivitas!$E$2,0)</f>
      </c>
      <c r="I72" s="0">
        <f>IF(ISNUMBER(SEARCH("RIPPING",Input_Jalan!H72)),=Input_Jalan!K72*Asumsi!$B$5*(Input_Jalan!M72+Input_Jalan!N72+Input_Jalan!O72)/Analisa_Produktivitas!$E$3,0)+IF(ISNUMBER(SEARCH("SPREADING",Input_Jalan!H72)),=Input_Jalan!K72*Asumsi!$B$5*(Input_Jalan!M72+Input_Jalan!N72+Input_Jalan!O72)/Analisa_Produktivitas!$E$4,0)+IF(ISNUMBER(SEARCH("BASECOURSE",Input_Jalan!H72)),=Input_Jalan!K72*Asumsi!$B$5*(Input_Jalan!M72+Input_Jalan!N72+Input_Jalan!O72)/Analisa_Produktivitas!$E$8,0)</f>
      </c>
      <c r="J72" s="0">
        <f>IF(OR(ISNUMBER(SEARCH("COMPACTING",Input_Jalan!H72)),ISNUMBER(SEARCH("PEMADATAN",Input_Jalan!H72))),=Input_Jalan!K72*Asumsi!$B$5*(Input_Jalan!M72+Input_Jalan!N72+Input_Jalan!O72)/Analisa_Produktivitas!$E$5,0)</f>
      </c>
      <c r="K72" s="0">
        <f>IF(ISNUMBER(SEARCH("DRAINASE",Input_Jalan!H72)),=Input_Jalan!I72*Asumsi!$B$7*Asumsi!$B$8*Input_Jalan!L72/Analisa_Produktivitas!$E$6,0)+IF(ISNUMBER(SEARCH("TANAH DASAR",Input_Jalan!H72)),=Input_Jalan!K72*Asumsi!$B$5*(Input_Jalan!M72+Input_Jalan!N72+Input_Jalan!O72)/Analisa_Produktivitas!$E$7,0)+IF(ISNUMBER(SEARCH("PATCHING",Input_Jalan!H72)),=Input_Jalan!K72*Asumsi!$B$5*(Input_Jalan!M72+Input_Jalan!N72+Input_Jalan!O72)/Analisa_Produktivitas!$E$9,0)</f>
      </c>
      <c r="L72" s="0">
        <f>IF(OR(ISNUMBER(SEARCH("COMPACTING",Input_Jalan!H72)),ISNUMBER(SEARCH("PEMADATAN",Input_Jalan!H72))),=Input_Jalan!K72*Asumsi!$B$5*(Input_Jalan!M72+Input_Jalan!N72+Input_Jalan!O72)*Asumsi!$B$9/Asumsi!$R$35,0)</f>
      </c>
      <c r="M72" s="0">
        <f>SUM(H72:L72)</f>
      </c>
      <c r="N72" s="0">
        <f>H72*Asumsi!$S$31+I72*Asumsi!$S$32+J72*Asumsi!$S$33+K72*Asumsi!$S$34+L72*Asumsi!$S$35</f>
      </c>
      <c r="O72" s="0">
        <f>IF(ISNUMBER(SEARCH("GRADING",Input_Jalan!H72)),"GRD ","")&amp;IF(ISNUMBER(SEARCH("RIPPING",Input_Jalan!H72)),"RIP ","")&amp;IF(ISNUMBER(SEARCH("SPREADING",Input_Jalan!H72)),"SPR ","")&amp;IF(ISNUMBER(SEARCH("COMPACTING",Input_Jalan!H72)),"CMP ","")&amp;IF(ISNUMBER(SEARCH("PEMADATAN",Input_Jalan!H72)),"CMP ","")&amp;IF(ISNUMBER(SEARCH("DRAINASE",Input_Jalan!H72)),"DRN ","")&amp;IF(ISNUMBER(SEARCH("TANAH DASAR",Input_Jalan!H72)),"SUB ","")&amp;IF(ISNUMBER(SEARCH("BASECOURSE",Input_Jalan!H72)),"BSC ","")&amp;IF(ISNUMBER(SEARCH("PATCHING",Input_Jalan!H72)),"PTH ","")&amp;IF(ISNUMBER(SEARCH("SEMENISASI",Input_Jalan!H72)),"SEM ","")</f>
      </c>
      <c r="P72" s="0">
        <f>IF(I72&gt;0,"AL-DZR ","")&amp;IF(H72&gt;0,"AL-GRD ","")&amp;IF(J72&gt;0,"AL-RLR ","")&amp;IF(K72&gt;0,"AL-EXC ","")&amp;IF(L72&gt;0,"AL-WTR","")</f>
      </c>
    </row>
    <row r="73">
      <c r="A73" s="0">
        <f>Input_Jalan!A73</f>
      </c>
      <c r="B73" s="0">
        <f>Input_Jalan!B73</f>
      </c>
      <c r="C73" s="0">
        <f>Input_Jalan!F73</f>
      </c>
      <c r="D73" s="0">
        <f>Input_Jalan!I73</f>
      </c>
      <c r="E73" s="0">
        <f>Input_Jalan!K73</f>
      </c>
      <c r="F73" s="0">
        <f>Input_Jalan!K73*Asumsi!$B$5*(Input_Jalan!M73+Input_Jalan!N73+Input_Jalan!O73)</f>
      </c>
      <c r="G73" s="0">
        <f>Input_Jalan!I73*Asumsi!$B$7*Asumsi!$B$8*Input_Jalan!L73</f>
      </c>
      <c r="H73" s="0">
        <f>IF(ISNUMBER(SEARCH("GRADING",Input_Jalan!H73)),Input_Jalan!K73/Analisa_Produktivitas!$E$2,0)</f>
      </c>
      <c r="I73" s="0">
        <f>IF(ISNUMBER(SEARCH("RIPPING",Input_Jalan!H73)),=Input_Jalan!K73*Asumsi!$B$5*(Input_Jalan!M73+Input_Jalan!N73+Input_Jalan!O73)/Analisa_Produktivitas!$E$3,0)+IF(ISNUMBER(SEARCH("SPREADING",Input_Jalan!H73)),=Input_Jalan!K73*Asumsi!$B$5*(Input_Jalan!M73+Input_Jalan!N73+Input_Jalan!O73)/Analisa_Produktivitas!$E$4,0)+IF(ISNUMBER(SEARCH("BASECOURSE",Input_Jalan!H73)),=Input_Jalan!K73*Asumsi!$B$5*(Input_Jalan!M73+Input_Jalan!N73+Input_Jalan!O73)/Analisa_Produktivitas!$E$8,0)</f>
      </c>
      <c r="J73" s="0">
        <f>IF(OR(ISNUMBER(SEARCH("COMPACTING",Input_Jalan!H73)),ISNUMBER(SEARCH("PEMADATAN",Input_Jalan!H73))),=Input_Jalan!K73*Asumsi!$B$5*(Input_Jalan!M73+Input_Jalan!N73+Input_Jalan!O73)/Analisa_Produktivitas!$E$5,0)</f>
      </c>
      <c r="K73" s="0">
        <f>IF(ISNUMBER(SEARCH("DRAINASE",Input_Jalan!H73)),=Input_Jalan!I73*Asumsi!$B$7*Asumsi!$B$8*Input_Jalan!L73/Analisa_Produktivitas!$E$6,0)+IF(ISNUMBER(SEARCH("TANAH DASAR",Input_Jalan!H73)),=Input_Jalan!K73*Asumsi!$B$5*(Input_Jalan!M73+Input_Jalan!N73+Input_Jalan!O73)/Analisa_Produktivitas!$E$7,0)+IF(ISNUMBER(SEARCH("PATCHING",Input_Jalan!H73)),=Input_Jalan!K73*Asumsi!$B$5*(Input_Jalan!M73+Input_Jalan!N73+Input_Jalan!O73)/Analisa_Produktivitas!$E$9,0)</f>
      </c>
      <c r="L73" s="0">
        <f>IF(OR(ISNUMBER(SEARCH("COMPACTING",Input_Jalan!H73)),ISNUMBER(SEARCH("PEMADATAN",Input_Jalan!H73))),=Input_Jalan!K73*Asumsi!$B$5*(Input_Jalan!M73+Input_Jalan!N73+Input_Jalan!O73)*Asumsi!$B$9/Asumsi!$R$35,0)</f>
      </c>
      <c r="M73" s="0">
        <f>SUM(H73:L73)</f>
      </c>
      <c r="N73" s="0">
        <f>H73*Asumsi!$S$31+I73*Asumsi!$S$32+J73*Asumsi!$S$33+K73*Asumsi!$S$34+L73*Asumsi!$S$35</f>
      </c>
      <c r="O73" s="0">
        <f>IF(ISNUMBER(SEARCH("GRADING",Input_Jalan!H73)),"GRD ","")&amp;IF(ISNUMBER(SEARCH("RIPPING",Input_Jalan!H73)),"RIP ","")&amp;IF(ISNUMBER(SEARCH("SPREADING",Input_Jalan!H73)),"SPR ","")&amp;IF(ISNUMBER(SEARCH("COMPACTING",Input_Jalan!H73)),"CMP ","")&amp;IF(ISNUMBER(SEARCH("PEMADATAN",Input_Jalan!H73)),"CMP ","")&amp;IF(ISNUMBER(SEARCH("DRAINASE",Input_Jalan!H73)),"DRN ","")&amp;IF(ISNUMBER(SEARCH("TANAH DASAR",Input_Jalan!H73)),"SUB ","")&amp;IF(ISNUMBER(SEARCH("BASECOURSE",Input_Jalan!H73)),"BSC ","")&amp;IF(ISNUMBER(SEARCH("PATCHING",Input_Jalan!H73)),"PTH ","")&amp;IF(ISNUMBER(SEARCH("SEMENISASI",Input_Jalan!H73)),"SEM ","")</f>
      </c>
      <c r="P73" s="0">
        <f>IF(I73&gt;0,"AL-DZR ","")&amp;IF(H73&gt;0,"AL-GRD ","")&amp;IF(J73&gt;0,"AL-RLR ","")&amp;IF(K73&gt;0,"AL-EXC ","")&amp;IF(L73&gt;0,"AL-WTR","")</f>
      </c>
    </row>
    <row r="74">
      <c r="A74" s="0">
        <f>Input_Jalan!A74</f>
      </c>
      <c r="B74" s="0">
        <f>Input_Jalan!B74</f>
      </c>
      <c r="C74" s="0">
        <f>Input_Jalan!F74</f>
      </c>
      <c r="D74" s="0">
        <f>Input_Jalan!I74</f>
      </c>
      <c r="E74" s="0">
        <f>Input_Jalan!K74</f>
      </c>
      <c r="F74" s="0">
        <f>Input_Jalan!K74*Asumsi!$B$5*(Input_Jalan!M74+Input_Jalan!N74+Input_Jalan!O74)</f>
      </c>
      <c r="G74" s="0">
        <f>Input_Jalan!I74*Asumsi!$B$7*Asumsi!$B$8*Input_Jalan!L74</f>
      </c>
      <c r="H74" s="0">
        <f>IF(ISNUMBER(SEARCH("GRADING",Input_Jalan!H74)),Input_Jalan!K74/Analisa_Produktivitas!$E$2,0)</f>
      </c>
      <c r="I74" s="0">
        <f>IF(ISNUMBER(SEARCH("RIPPING",Input_Jalan!H74)),=Input_Jalan!K74*Asumsi!$B$5*(Input_Jalan!M74+Input_Jalan!N74+Input_Jalan!O74)/Analisa_Produktivitas!$E$3,0)+IF(ISNUMBER(SEARCH("SPREADING",Input_Jalan!H74)),=Input_Jalan!K74*Asumsi!$B$5*(Input_Jalan!M74+Input_Jalan!N74+Input_Jalan!O74)/Analisa_Produktivitas!$E$4,0)+IF(ISNUMBER(SEARCH("BASECOURSE",Input_Jalan!H74)),=Input_Jalan!K74*Asumsi!$B$5*(Input_Jalan!M74+Input_Jalan!N74+Input_Jalan!O74)/Analisa_Produktivitas!$E$8,0)</f>
      </c>
      <c r="J74" s="0">
        <f>IF(OR(ISNUMBER(SEARCH("COMPACTING",Input_Jalan!H74)),ISNUMBER(SEARCH("PEMADATAN",Input_Jalan!H74))),=Input_Jalan!K74*Asumsi!$B$5*(Input_Jalan!M74+Input_Jalan!N74+Input_Jalan!O74)/Analisa_Produktivitas!$E$5,0)</f>
      </c>
      <c r="K74" s="0">
        <f>IF(ISNUMBER(SEARCH("DRAINASE",Input_Jalan!H74)),=Input_Jalan!I74*Asumsi!$B$7*Asumsi!$B$8*Input_Jalan!L74/Analisa_Produktivitas!$E$6,0)+IF(ISNUMBER(SEARCH("TANAH DASAR",Input_Jalan!H74)),=Input_Jalan!K74*Asumsi!$B$5*(Input_Jalan!M74+Input_Jalan!N74+Input_Jalan!O74)/Analisa_Produktivitas!$E$7,0)+IF(ISNUMBER(SEARCH("PATCHING",Input_Jalan!H74)),=Input_Jalan!K74*Asumsi!$B$5*(Input_Jalan!M74+Input_Jalan!N74+Input_Jalan!O74)/Analisa_Produktivitas!$E$9,0)</f>
      </c>
      <c r="L74" s="0">
        <f>IF(OR(ISNUMBER(SEARCH("COMPACTING",Input_Jalan!H74)),ISNUMBER(SEARCH("PEMADATAN",Input_Jalan!H74))),=Input_Jalan!K74*Asumsi!$B$5*(Input_Jalan!M74+Input_Jalan!N74+Input_Jalan!O74)*Asumsi!$B$9/Asumsi!$R$35,0)</f>
      </c>
      <c r="M74" s="0">
        <f>SUM(H74:L74)</f>
      </c>
      <c r="N74" s="0">
        <f>H74*Asumsi!$S$31+I74*Asumsi!$S$32+J74*Asumsi!$S$33+K74*Asumsi!$S$34+L74*Asumsi!$S$35</f>
      </c>
      <c r="O74" s="0">
        <f>IF(ISNUMBER(SEARCH("GRADING",Input_Jalan!H74)),"GRD ","")&amp;IF(ISNUMBER(SEARCH("RIPPING",Input_Jalan!H74)),"RIP ","")&amp;IF(ISNUMBER(SEARCH("SPREADING",Input_Jalan!H74)),"SPR ","")&amp;IF(ISNUMBER(SEARCH("COMPACTING",Input_Jalan!H74)),"CMP ","")&amp;IF(ISNUMBER(SEARCH("PEMADATAN",Input_Jalan!H74)),"CMP ","")&amp;IF(ISNUMBER(SEARCH("DRAINASE",Input_Jalan!H74)),"DRN ","")&amp;IF(ISNUMBER(SEARCH("TANAH DASAR",Input_Jalan!H74)),"SUB ","")&amp;IF(ISNUMBER(SEARCH("BASECOURSE",Input_Jalan!H74)),"BSC ","")&amp;IF(ISNUMBER(SEARCH("PATCHING",Input_Jalan!H74)),"PTH ","")&amp;IF(ISNUMBER(SEARCH("SEMENISASI",Input_Jalan!H74)),"SEM ","")</f>
      </c>
      <c r="P74" s="0">
        <f>IF(I74&gt;0,"AL-DZR ","")&amp;IF(H74&gt;0,"AL-GRD ","")&amp;IF(J74&gt;0,"AL-RLR ","")&amp;IF(K74&gt;0,"AL-EXC ","")&amp;IF(L74&gt;0,"AL-WTR","")</f>
      </c>
    </row>
  </sheetData>
</worksheet>
</file>

<file path=xl/worksheets/sheet8.xml><?xml version="1.0" encoding="utf-8"?>
<worksheet xmlns="http://schemas.openxmlformats.org/spreadsheetml/2006/main">
  <dimension ref="A1:N74"/>
  <sheetViews>
    <sheetView workbookViewId="0"/>
  </sheetViews>
  <sheetFormatPr defaultRowHeight="15"/>
  <cols>
    <col min="1" max="1" width="8" customWidth="1"/>
    <col min="2" max="2" width="12" customWidth="1"/>
    <col min="3" max="3" width="10" customWidth="1"/>
    <col min="4" max="4" width="12" customWidth="1"/>
    <col min="5" max="5" width="14" customWidth="1"/>
    <col min="6" max="6" width="22" customWidth="1"/>
    <col min="7" max="7" width="22" customWidth="1"/>
    <col min="8" max="8" width="20" customWidth="1"/>
    <col min="9" max="9" width="22" customWidth="1"/>
    <col min="10" max="10" width="14" customWidth="1"/>
    <col min="11" max="11" width="14" customWidth="1"/>
    <col min="12" max="12" width="20" customWidth="1"/>
    <col min="13" max="13" width="30" customWidth="1"/>
    <col min="14" max="14" width="28" customWidth="1"/>
  </cols>
  <sheetData>
    <row r="1">
      <c r="A1" s="1" t="inlineStr">
        <is>
          <t>No</t>
        </is>
      </c>
      <c r="B1" s="1" t="inlineStr">
        <is>
          <t>Afdeling</t>
        </is>
      </c>
      <c r="C1" s="1" t="inlineStr">
        <is>
          <t>Blok</t>
        </is>
      </c>
      <c r="D1" s="1" t="inlineStr">
        <is>
          <t>Panjang m</t>
        </is>
      </c>
      <c r="E1" s="1" t="inlineStr">
        <is>
          <t>Luas m2</t>
        </is>
      </c>
      <c r="F1" s="1" t="inlineStr">
        <is>
          <t>Existing diolah m3</t>
        </is>
      </c>
      <c r="G1" s="1" t="inlineStr">
        <is>
          <t>Basecourse baru m3</t>
        </is>
      </c>
      <c r="H1" s="1" t="inlineStr">
        <is>
          <t>Air pemadatan m3</t>
        </is>
      </c>
      <c r="I1" s="1" t="inlineStr">
        <is>
          <t>Drainase/galian m3</t>
        </is>
      </c>
      <c r="J1" s="1" t="inlineStr">
        <is>
          <t>Semen zak</t>
        </is>
      </c>
      <c r="K1" s="1" t="inlineStr">
        <is>
          <t>Pasir m3</t>
        </is>
      </c>
      <c r="L1" s="1" t="inlineStr">
        <is>
          <t>Air semenisasi m3</t>
        </is>
      </c>
      <c r="M1" s="1" t="inlineStr">
        <is>
          <t>Kode material</t>
        </is>
      </c>
      <c r="N1" s="1" t="inlineStr">
        <is>
          <t>Pekerjaan</t>
        </is>
      </c>
    </row>
    <row r="2">
      <c r="A2" s="0">
        <f>Input_Jalan!A2</f>
      </c>
      <c r="B2" s="0">
        <f>Input_Jalan!B2</f>
      </c>
      <c r="C2" s="0">
        <f>Input_Jalan!F2</f>
      </c>
      <c r="D2" s="0">
        <f>Input_Jalan!I2</f>
      </c>
      <c r="E2" s="0">
        <f>Input_Jalan!K2</f>
      </c>
      <c r="F2" s="0">
        <f>Input_Jalan!K2*Asumsi!$B$5*(Input_Jalan!M2+Input_Jalan!N2+Input_Jalan!O2)</f>
      </c>
      <c r="G2" s="0">
        <f>Input_Jalan!K2*Asumsi!$B$6*Input_Jalan!O2</f>
      </c>
      <c r="H2" s="0">
        <f>=Input_Jalan!K2*Asumsi!$B$5*(Input_Jalan!M2+Input_Jalan!N2+Input_Jalan!O2)*Asumsi!$B$9</f>
      </c>
      <c r="I2" s="0">
        <f>Input_Jalan!I2*Asumsi!$B$7*Asumsi!$B$8*Input_Jalan!L2</f>
      </c>
      <c r="J2" s="0">
        <f>IF(ISNUMBER(SEARCH("SEMENISASI",Input_Jalan!H2)),Input_Jalan!K2*Asumsi!$B$50,0)</f>
      </c>
      <c r="K2" s="0">
        <f>IF(ISNUMBER(SEARCH("SEMENISASI",Input_Jalan!H2)),Input_Jalan!K2*Asumsi!$B$51,0)</f>
      </c>
      <c r="L2" s="0">
        <f>IF(ISNUMBER(SEARCH("SEMENISASI",Input_Jalan!H2)),Input_Jalan!K2*Asumsi!$B$52,0)</f>
      </c>
      <c r="M2" s="0" t="inlineStr">
        <is>
          <t>MAT-EXC / MAT-BSC / MAT-WTR / MAT-SEM</t>
        </is>
      </c>
      <c r="N2" s="0">
        <f>Analisa_Jam_Alat!O2</f>
      </c>
    </row>
    <row r="3">
      <c r="A3" s="0">
        <f>Input_Jalan!A3</f>
      </c>
      <c r="B3" s="0">
        <f>Input_Jalan!B3</f>
      </c>
      <c r="C3" s="0">
        <f>Input_Jalan!F3</f>
      </c>
      <c r="D3" s="0">
        <f>Input_Jalan!I3</f>
      </c>
      <c r="E3" s="0">
        <f>Input_Jalan!K3</f>
      </c>
      <c r="F3" s="0">
        <f>Input_Jalan!K3*Asumsi!$B$5*(Input_Jalan!M3+Input_Jalan!N3+Input_Jalan!O3)</f>
      </c>
      <c r="G3" s="0">
        <f>Input_Jalan!K3*Asumsi!$B$6*Input_Jalan!O3</f>
      </c>
      <c r="H3" s="0">
        <f>=Input_Jalan!K3*Asumsi!$B$5*(Input_Jalan!M3+Input_Jalan!N3+Input_Jalan!O3)*Asumsi!$B$9</f>
      </c>
      <c r="I3" s="0">
        <f>Input_Jalan!I3*Asumsi!$B$7*Asumsi!$B$8*Input_Jalan!L3</f>
      </c>
      <c r="J3" s="0">
        <f>IF(ISNUMBER(SEARCH("SEMENISASI",Input_Jalan!H3)),Input_Jalan!K3*Asumsi!$B$50,0)</f>
      </c>
      <c r="K3" s="0">
        <f>IF(ISNUMBER(SEARCH("SEMENISASI",Input_Jalan!H3)),Input_Jalan!K3*Asumsi!$B$51,0)</f>
      </c>
      <c r="L3" s="0">
        <f>IF(ISNUMBER(SEARCH("SEMENISASI",Input_Jalan!H3)),Input_Jalan!K3*Asumsi!$B$52,0)</f>
      </c>
      <c r="M3" s="0" t="inlineStr">
        <is>
          <t>MAT-EXC / MAT-BSC / MAT-WTR / MAT-SEM</t>
        </is>
      </c>
      <c r="N3" s="0">
        <f>Analisa_Jam_Alat!O3</f>
      </c>
    </row>
    <row r="4">
      <c r="A4" s="0">
        <f>Input_Jalan!A4</f>
      </c>
      <c r="B4" s="0">
        <f>Input_Jalan!B4</f>
      </c>
      <c r="C4" s="0">
        <f>Input_Jalan!F4</f>
      </c>
      <c r="D4" s="0">
        <f>Input_Jalan!I4</f>
      </c>
      <c r="E4" s="0">
        <f>Input_Jalan!K4</f>
      </c>
      <c r="F4" s="0">
        <f>Input_Jalan!K4*Asumsi!$B$5*(Input_Jalan!M4+Input_Jalan!N4+Input_Jalan!O4)</f>
      </c>
      <c r="G4" s="0">
        <f>Input_Jalan!K4*Asumsi!$B$6*Input_Jalan!O4</f>
      </c>
      <c r="H4" s="0">
        <f>=Input_Jalan!K4*Asumsi!$B$5*(Input_Jalan!M4+Input_Jalan!N4+Input_Jalan!O4)*Asumsi!$B$9</f>
      </c>
      <c r="I4" s="0">
        <f>Input_Jalan!I4*Asumsi!$B$7*Asumsi!$B$8*Input_Jalan!L4</f>
      </c>
      <c r="J4" s="0">
        <f>IF(ISNUMBER(SEARCH("SEMENISASI",Input_Jalan!H4)),Input_Jalan!K4*Asumsi!$B$50,0)</f>
      </c>
      <c r="K4" s="0">
        <f>IF(ISNUMBER(SEARCH("SEMENISASI",Input_Jalan!H4)),Input_Jalan!K4*Asumsi!$B$51,0)</f>
      </c>
      <c r="L4" s="0">
        <f>IF(ISNUMBER(SEARCH("SEMENISASI",Input_Jalan!H4)),Input_Jalan!K4*Asumsi!$B$52,0)</f>
      </c>
      <c r="M4" s="0" t="inlineStr">
        <is>
          <t>MAT-EXC / MAT-BSC / MAT-WTR / MAT-SEM</t>
        </is>
      </c>
      <c r="N4" s="0">
        <f>Analisa_Jam_Alat!O4</f>
      </c>
    </row>
    <row r="5">
      <c r="A5" s="0">
        <f>Input_Jalan!A5</f>
      </c>
      <c r="B5" s="0">
        <f>Input_Jalan!B5</f>
      </c>
      <c r="C5" s="0">
        <f>Input_Jalan!F5</f>
      </c>
      <c r="D5" s="0">
        <f>Input_Jalan!I5</f>
      </c>
      <c r="E5" s="0">
        <f>Input_Jalan!K5</f>
      </c>
      <c r="F5" s="0">
        <f>Input_Jalan!K5*Asumsi!$B$5*(Input_Jalan!M5+Input_Jalan!N5+Input_Jalan!O5)</f>
      </c>
      <c r="G5" s="0">
        <f>Input_Jalan!K5*Asumsi!$B$6*Input_Jalan!O5</f>
      </c>
      <c r="H5" s="0">
        <f>=Input_Jalan!K5*Asumsi!$B$5*(Input_Jalan!M5+Input_Jalan!N5+Input_Jalan!O5)*Asumsi!$B$9</f>
      </c>
      <c r="I5" s="0">
        <f>Input_Jalan!I5*Asumsi!$B$7*Asumsi!$B$8*Input_Jalan!L5</f>
      </c>
      <c r="J5" s="0">
        <f>IF(ISNUMBER(SEARCH("SEMENISASI",Input_Jalan!H5)),Input_Jalan!K5*Asumsi!$B$50,0)</f>
      </c>
      <c r="K5" s="0">
        <f>IF(ISNUMBER(SEARCH("SEMENISASI",Input_Jalan!H5)),Input_Jalan!K5*Asumsi!$B$51,0)</f>
      </c>
      <c r="L5" s="0">
        <f>IF(ISNUMBER(SEARCH("SEMENISASI",Input_Jalan!H5)),Input_Jalan!K5*Asumsi!$B$52,0)</f>
      </c>
      <c r="M5" s="0" t="inlineStr">
        <is>
          <t>MAT-EXC / MAT-BSC / MAT-WTR / MAT-SEM</t>
        </is>
      </c>
      <c r="N5" s="0">
        <f>Analisa_Jam_Alat!O5</f>
      </c>
    </row>
    <row r="6">
      <c r="A6" s="0">
        <f>Input_Jalan!A6</f>
      </c>
      <c r="B6" s="0">
        <f>Input_Jalan!B6</f>
      </c>
      <c r="C6" s="0">
        <f>Input_Jalan!F6</f>
      </c>
      <c r="D6" s="0">
        <f>Input_Jalan!I6</f>
      </c>
      <c r="E6" s="0">
        <f>Input_Jalan!K6</f>
      </c>
      <c r="F6" s="0">
        <f>Input_Jalan!K6*Asumsi!$B$5*(Input_Jalan!M6+Input_Jalan!N6+Input_Jalan!O6)</f>
      </c>
      <c r="G6" s="0">
        <f>Input_Jalan!K6*Asumsi!$B$6*Input_Jalan!O6</f>
      </c>
      <c r="H6" s="0">
        <f>=Input_Jalan!K6*Asumsi!$B$5*(Input_Jalan!M6+Input_Jalan!N6+Input_Jalan!O6)*Asumsi!$B$9</f>
      </c>
      <c r="I6" s="0">
        <f>Input_Jalan!I6*Asumsi!$B$7*Asumsi!$B$8*Input_Jalan!L6</f>
      </c>
      <c r="J6" s="0">
        <f>IF(ISNUMBER(SEARCH("SEMENISASI",Input_Jalan!H6)),Input_Jalan!K6*Asumsi!$B$50,0)</f>
      </c>
      <c r="K6" s="0">
        <f>IF(ISNUMBER(SEARCH("SEMENISASI",Input_Jalan!H6)),Input_Jalan!K6*Asumsi!$B$51,0)</f>
      </c>
      <c r="L6" s="0">
        <f>IF(ISNUMBER(SEARCH("SEMENISASI",Input_Jalan!H6)),Input_Jalan!K6*Asumsi!$B$52,0)</f>
      </c>
      <c r="M6" s="0" t="inlineStr">
        <is>
          <t>MAT-EXC / MAT-BSC / MAT-WTR / MAT-SEM</t>
        </is>
      </c>
      <c r="N6" s="0">
        <f>Analisa_Jam_Alat!O6</f>
      </c>
    </row>
    <row r="7">
      <c r="A7" s="0">
        <f>Input_Jalan!A7</f>
      </c>
      <c r="B7" s="0">
        <f>Input_Jalan!B7</f>
      </c>
      <c r="C7" s="0">
        <f>Input_Jalan!F7</f>
      </c>
      <c r="D7" s="0">
        <f>Input_Jalan!I7</f>
      </c>
      <c r="E7" s="0">
        <f>Input_Jalan!K7</f>
      </c>
      <c r="F7" s="0">
        <f>Input_Jalan!K7*Asumsi!$B$5*(Input_Jalan!M7+Input_Jalan!N7+Input_Jalan!O7)</f>
      </c>
      <c r="G7" s="0">
        <f>Input_Jalan!K7*Asumsi!$B$6*Input_Jalan!O7</f>
      </c>
      <c r="H7" s="0">
        <f>=Input_Jalan!K7*Asumsi!$B$5*(Input_Jalan!M7+Input_Jalan!N7+Input_Jalan!O7)*Asumsi!$B$9</f>
      </c>
      <c r="I7" s="0">
        <f>Input_Jalan!I7*Asumsi!$B$7*Asumsi!$B$8*Input_Jalan!L7</f>
      </c>
      <c r="J7" s="0">
        <f>IF(ISNUMBER(SEARCH("SEMENISASI",Input_Jalan!H7)),Input_Jalan!K7*Asumsi!$B$50,0)</f>
      </c>
      <c r="K7" s="0">
        <f>IF(ISNUMBER(SEARCH("SEMENISASI",Input_Jalan!H7)),Input_Jalan!K7*Asumsi!$B$51,0)</f>
      </c>
      <c r="L7" s="0">
        <f>IF(ISNUMBER(SEARCH("SEMENISASI",Input_Jalan!H7)),Input_Jalan!K7*Asumsi!$B$52,0)</f>
      </c>
      <c r="M7" s="0" t="inlineStr">
        <is>
          <t>MAT-EXC / MAT-BSC / MAT-WTR / MAT-SEM</t>
        </is>
      </c>
      <c r="N7" s="0">
        <f>Analisa_Jam_Alat!O7</f>
      </c>
    </row>
    <row r="8">
      <c r="A8" s="0">
        <f>Input_Jalan!A8</f>
      </c>
      <c r="B8" s="0">
        <f>Input_Jalan!B8</f>
      </c>
      <c r="C8" s="0">
        <f>Input_Jalan!F8</f>
      </c>
      <c r="D8" s="0">
        <f>Input_Jalan!I8</f>
      </c>
      <c r="E8" s="0">
        <f>Input_Jalan!K8</f>
      </c>
      <c r="F8" s="0">
        <f>Input_Jalan!K8*Asumsi!$B$5*(Input_Jalan!M8+Input_Jalan!N8+Input_Jalan!O8)</f>
      </c>
      <c r="G8" s="0">
        <f>Input_Jalan!K8*Asumsi!$B$6*Input_Jalan!O8</f>
      </c>
      <c r="H8" s="0">
        <f>=Input_Jalan!K8*Asumsi!$B$5*(Input_Jalan!M8+Input_Jalan!N8+Input_Jalan!O8)*Asumsi!$B$9</f>
      </c>
      <c r="I8" s="0">
        <f>Input_Jalan!I8*Asumsi!$B$7*Asumsi!$B$8*Input_Jalan!L8</f>
      </c>
      <c r="J8" s="0">
        <f>IF(ISNUMBER(SEARCH("SEMENISASI",Input_Jalan!H8)),Input_Jalan!K8*Asumsi!$B$50,0)</f>
      </c>
      <c r="K8" s="0">
        <f>IF(ISNUMBER(SEARCH("SEMENISASI",Input_Jalan!H8)),Input_Jalan!K8*Asumsi!$B$51,0)</f>
      </c>
      <c r="L8" s="0">
        <f>IF(ISNUMBER(SEARCH("SEMENISASI",Input_Jalan!H8)),Input_Jalan!K8*Asumsi!$B$52,0)</f>
      </c>
      <c r="M8" s="0" t="inlineStr">
        <is>
          <t>MAT-EXC / MAT-BSC / MAT-WTR / MAT-SEM</t>
        </is>
      </c>
      <c r="N8" s="0">
        <f>Analisa_Jam_Alat!O8</f>
      </c>
    </row>
    <row r="9">
      <c r="A9" s="0">
        <f>Input_Jalan!A9</f>
      </c>
      <c r="B9" s="0">
        <f>Input_Jalan!B9</f>
      </c>
      <c r="C9" s="0">
        <f>Input_Jalan!F9</f>
      </c>
      <c r="D9" s="0">
        <f>Input_Jalan!I9</f>
      </c>
      <c r="E9" s="0">
        <f>Input_Jalan!K9</f>
      </c>
      <c r="F9" s="0">
        <f>Input_Jalan!K9*Asumsi!$B$5*(Input_Jalan!M9+Input_Jalan!N9+Input_Jalan!O9)</f>
      </c>
      <c r="G9" s="0">
        <f>Input_Jalan!K9*Asumsi!$B$6*Input_Jalan!O9</f>
      </c>
      <c r="H9" s="0">
        <f>=Input_Jalan!K9*Asumsi!$B$5*(Input_Jalan!M9+Input_Jalan!N9+Input_Jalan!O9)*Asumsi!$B$9</f>
      </c>
      <c r="I9" s="0">
        <f>Input_Jalan!I9*Asumsi!$B$7*Asumsi!$B$8*Input_Jalan!L9</f>
      </c>
      <c r="J9" s="0">
        <f>IF(ISNUMBER(SEARCH("SEMENISASI",Input_Jalan!H9)),Input_Jalan!K9*Asumsi!$B$50,0)</f>
      </c>
      <c r="K9" s="0">
        <f>IF(ISNUMBER(SEARCH("SEMENISASI",Input_Jalan!H9)),Input_Jalan!K9*Asumsi!$B$51,0)</f>
      </c>
      <c r="L9" s="0">
        <f>IF(ISNUMBER(SEARCH("SEMENISASI",Input_Jalan!H9)),Input_Jalan!K9*Asumsi!$B$52,0)</f>
      </c>
      <c r="M9" s="0" t="inlineStr">
        <is>
          <t>MAT-EXC / MAT-BSC / MAT-WTR / MAT-SEM</t>
        </is>
      </c>
      <c r="N9" s="0">
        <f>Analisa_Jam_Alat!O9</f>
      </c>
    </row>
    <row r="10">
      <c r="A10" s="0">
        <f>Input_Jalan!A10</f>
      </c>
      <c r="B10" s="0">
        <f>Input_Jalan!B10</f>
      </c>
      <c r="C10" s="0">
        <f>Input_Jalan!F10</f>
      </c>
      <c r="D10" s="0">
        <f>Input_Jalan!I10</f>
      </c>
      <c r="E10" s="0">
        <f>Input_Jalan!K10</f>
      </c>
      <c r="F10" s="0">
        <f>Input_Jalan!K10*Asumsi!$B$5*(Input_Jalan!M10+Input_Jalan!N10+Input_Jalan!O10)</f>
      </c>
      <c r="G10" s="0">
        <f>Input_Jalan!K10*Asumsi!$B$6*Input_Jalan!O10</f>
      </c>
      <c r="H10" s="0">
        <f>=Input_Jalan!K10*Asumsi!$B$5*(Input_Jalan!M10+Input_Jalan!N10+Input_Jalan!O10)*Asumsi!$B$9</f>
      </c>
      <c r="I10" s="0">
        <f>Input_Jalan!I10*Asumsi!$B$7*Asumsi!$B$8*Input_Jalan!L10</f>
      </c>
      <c r="J10" s="0">
        <f>IF(ISNUMBER(SEARCH("SEMENISASI",Input_Jalan!H10)),Input_Jalan!K10*Asumsi!$B$50,0)</f>
      </c>
      <c r="K10" s="0">
        <f>IF(ISNUMBER(SEARCH("SEMENISASI",Input_Jalan!H10)),Input_Jalan!K10*Asumsi!$B$51,0)</f>
      </c>
      <c r="L10" s="0">
        <f>IF(ISNUMBER(SEARCH("SEMENISASI",Input_Jalan!H10)),Input_Jalan!K10*Asumsi!$B$52,0)</f>
      </c>
      <c r="M10" s="0" t="inlineStr">
        <is>
          <t>MAT-EXC / MAT-BSC / MAT-WTR / MAT-SEM</t>
        </is>
      </c>
      <c r="N10" s="0">
        <f>Analisa_Jam_Alat!O10</f>
      </c>
    </row>
    <row r="11">
      <c r="A11" s="0">
        <f>Input_Jalan!A11</f>
      </c>
      <c r="B11" s="0">
        <f>Input_Jalan!B11</f>
      </c>
      <c r="C11" s="0">
        <f>Input_Jalan!F11</f>
      </c>
      <c r="D11" s="0">
        <f>Input_Jalan!I11</f>
      </c>
      <c r="E11" s="0">
        <f>Input_Jalan!K11</f>
      </c>
      <c r="F11" s="0">
        <f>Input_Jalan!K11*Asumsi!$B$5*(Input_Jalan!M11+Input_Jalan!N11+Input_Jalan!O11)</f>
      </c>
      <c r="G11" s="0">
        <f>Input_Jalan!K11*Asumsi!$B$6*Input_Jalan!O11</f>
      </c>
      <c r="H11" s="0">
        <f>=Input_Jalan!K11*Asumsi!$B$5*(Input_Jalan!M11+Input_Jalan!N11+Input_Jalan!O11)*Asumsi!$B$9</f>
      </c>
      <c r="I11" s="0">
        <f>Input_Jalan!I11*Asumsi!$B$7*Asumsi!$B$8*Input_Jalan!L11</f>
      </c>
      <c r="J11" s="0">
        <f>IF(ISNUMBER(SEARCH("SEMENISASI",Input_Jalan!H11)),Input_Jalan!K11*Asumsi!$B$50,0)</f>
      </c>
      <c r="K11" s="0">
        <f>IF(ISNUMBER(SEARCH("SEMENISASI",Input_Jalan!H11)),Input_Jalan!K11*Asumsi!$B$51,0)</f>
      </c>
      <c r="L11" s="0">
        <f>IF(ISNUMBER(SEARCH("SEMENISASI",Input_Jalan!H11)),Input_Jalan!K11*Asumsi!$B$52,0)</f>
      </c>
      <c r="M11" s="0" t="inlineStr">
        <is>
          <t>MAT-EXC / MAT-BSC / MAT-WTR / MAT-SEM</t>
        </is>
      </c>
      <c r="N11" s="0">
        <f>Analisa_Jam_Alat!O11</f>
      </c>
    </row>
    <row r="12">
      <c r="A12" s="0">
        <f>Input_Jalan!A12</f>
      </c>
      <c r="B12" s="0">
        <f>Input_Jalan!B12</f>
      </c>
      <c r="C12" s="0">
        <f>Input_Jalan!F12</f>
      </c>
      <c r="D12" s="0">
        <f>Input_Jalan!I12</f>
      </c>
      <c r="E12" s="0">
        <f>Input_Jalan!K12</f>
      </c>
      <c r="F12" s="0">
        <f>Input_Jalan!K12*Asumsi!$B$5*(Input_Jalan!M12+Input_Jalan!N12+Input_Jalan!O12)</f>
      </c>
      <c r="G12" s="0">
        <f>Input_Jalan!K12*Asumsi!$B$6*Input_Jalan!O12</f>
      </c>
      <c r="H12" s="0">
        <f>=Input_Jalan!K12*Asumsi!$B$5*(Input_Jalan!M12+Input_Jalan!N12+Input_Jalan!O12)*Asumsi!$B$9</f>
      </c>
      <c r="I12" s="0">
        <f>Input_Jalan!I12*Asumsi!$B$7*Asumsi!$B$8*Input_Jalan!L12</f>
      </c>
      <c r="J12" s="0">
        <f>IF(ISNUMBER(SEARCH("SEMENISASI",Input_Jalan!H12)),Input_Jalan!K12*Asumsi!$B$50,0)</f>
      </c>
      <c r="K12" s="0">
        <f>IF(ISNUMBER(SEARCH("SEMENISASI",Input_Jalan!H12)),Input_Jalan!K12*Asumsi!$B$51,0)</f>
      </c>
      <c r="L12" s="0">
        <f>IF(ISNUMBER(SEARCH("SEMENISASI",Input_Jalan!H12)),Input_Jalan!K12*Asumsi!$B$52,0)</f>
      </c>
      <c r="M12" s="0" t="inlineStr">
        <is>
          <t>MAT-EXC / MAT-BSC / MAT-WTR / MAT-SEM</t>
        </is>
      </c>
      <c r="N12" s="0">
        <f>Analisa_Jam_Alat!O12</f>
      </c>
    </row>
    <row r="13">
      <c r="A13" s="0">
        <f>Input_Jalan!A13</f>
      </c>
      <c r="B13" s="0">
        <f>Input_Jalan!B13</f>
      </c>
      <c r="C13" s="0">
        <f>Input_Jalan!F13</f>
      </c>
      <c r="D13" s="0">
        <f>Input_Jalan!I13</f>
      </c>
      <c r="E13" s="0">
        <f>Input_Jalan!K13</f>
      </c>
      <c r="F13" s="0">
        <f>Input_Jalan!K13*Asumsi!$B$5*(Input_Jalan!M13+Input_Jalan!N13+Input_Jalan!O13)</f>
      </c>
      <c r="G13" s="0">
        <f>Input_Jalan!K13*Asumsi!$B$6*Input_Jalan!O13</f>
      </c>
      <c r="H13" s="0">
        <f>=Input_Jalan!K13*Asumsi!$B$5*(Input_Jalan!M13+Input_Jalan!N13+Input_Jalan!O13)*Asumsi!$B$9</f>
      </c>
      <c r="I13" s="0">
        <f>Input_Jalan!I13*Asumsi!$B$7*Asumsi!$B$8*Input_Jalan!L13</f>
      </c>
      <c r="J13" s="0">
        <f>IF(ISNUMBER(SEARCH("SEMENISASI",Input_Jalan!H13)),Input_Jalan!K13*Asumsi!$B$50,0)</f>
      </c>
      <c r="K13" s="0">
        <f>IF(ISNUMBER(SEARCH("SEMENISASI",Input_Jalan!H13)),Input_Jalan!K13*Asumsi!$B$51,0)</f>
      </c>
      <c r="L13" s="0">
        <f>IF(ISNUMBER(SEARCH("SEMENISASI",Input_Jalan!H13)),Input_Jalan!K13*Asumsi!$B$52,0)</f>
      </c>
      <c r="M13" s="0" t="inlineStr">
        <is>
          <t>MAT-EXC / MAT-BSC / MAT-WTR / MAT-SEM</t>
        </is>
      </c>
      <c r="N13" s="0">
        <f>Analisa_Jam_Alat!O13</f>
      </c>
    </row>
    <row r="14">
      <c r="A14" s="0">
        <f>Input_Jalan!A14</f>
      </c>
      <c r="B14" s="0">
        <f>Input_Jalan!B14</f>
      </c>
      <c r="C14" s="0">
        <f>Input_Jalan!F14</f>
      </c>
      <c r="D14" s="0">
        <f>Input_Jalan!I14</f>
      </c>
      <c r="E14" s="0">
        <f>Input_Jalan!K14</f>
      </c>
      <c r="F14" s="0">
        <f>Input_Jalan!K14*Asumsi!$B$5*(Input_Jalan!M14+Input_Jalan!N14+Input_Jalan!O14)</f>
      </c>
      <c r="G14" s="0">
        <f>Input_Jalan!K14*Asumsi!$B$6*Input_Jalan!O14</f>
      </c>
      <c r="H14" s="0">
        <f>=Input_Jalan!K14*Asumsi!$B$5*(Input_Jalan!M14+Input_Jalan!N14+Input_Jalan!O14)*Asumsi!$B$9</f>
      </c>
      <c r="I14" s="0">
        <f>Input_Jalan!I14*Asumsi!$B$7*Asumsi!$B$8*Input_Jalan!L14</f>
      </c>
      <c r="J14" s="0">
        <f>IF(ISNUMBER(SEARCH("SEMENISASI",Input_Jalan!H14)),Input_Jalan!K14*Asumsi!$B$50,0)</f>
      </c>
      <c r="K14" s="0">
        <f>IF(ISNUMBER(SEARCH("SEMENISASI",Input_Jalan!H14)),Input_Jalan!K14*Asumsi!$B$51,0)</f>
      </c>
      <c r="L14" s="0">
        <f>IF(ISNUMBER(SEARCH("SEMENISASI",Input_Jalan!H14)),Input_Jalan!K14*Asumsi!$B$52,0)</f>
      </c>
      <c r="M14" s="0" t="inlineStr">
        <is>
          <t>MAT-EXC / MAT-BSC / MAT-WTR / MAT-SEM</t>
        </is>
      </c>
      <c r="N14" s="0">
        <f>Analisa_Jam_Alat!O14</f>
      </c>
    </row>
    <row r="15">
      <c r="A15" s="0">
        <f>Input_Jalan!A15</f>
      </c>
      <c r="B15" s="0">
        <f>Input_Jalan!B15</f>
      </c>
      <c r="C15" s="0">
        <f>Input_Jalan!F15</f>
      </c>
      <c r="D15" s="0">
        <f>Input_Jalan!I15</f>
      </c>
      <c r="E15" s="0">
        <f>Input_Jalan!K15</f>
      </c>
      <c r="F15" s="0">
        <f>Input_Jalan!K15*Asumsi!$B$5*(Input_Jalan!M15+Input_Jalan!N15+Input_Jalan!O15)</f>
      </c>
      <c r="G15" s="0">
        <f>Input_Jalan!K15*Asumsi!$B$6*Input_Jalan!O15</f>
      </c>
      <c r="H15" s="0">
        <f>=Input_Jalan!K15*Asumsi!$B$5*(Input_Jalan!M15+Input_Jalan!N15+Input_Jalan!O15)*Asumsi!$B$9</f>
      </c>
      <c r="I15" s="0">
        <f>Input_Jalan!I15*Asumsi!$B$7*Asumsi!$B$8*Input_Jalan!L15</f>
      </c>
      <c r="J15" s="0">
        <f>IF(ISNUMBER(SEARCH("SEMENISASI",Input_Jalan!H15)),Input_Jalan!K15*Asumsi!$B$50,0)</f>
      </c>
      <c r="K15" s="0">
        <f>IF(ISNUMBER(SEARCH("SEMENISASI",Input_Jalan!H15)),Input_Jalan!K15*Asumsi!$B$51,0)</f>
      </c>
      <c r="L15" s="0">
        <f>IF(ISNUMBER(SEARCH("SEMENISASI",Input_Jalan!H15)),Input_Jalan!K15*Asumsi!$B$52,0)</f>
      </c>
      <c r="M15" s="0" t="inlineStr">
        <is>
          <t>MAT-EXC / MAT-BSC / MAT-WTR / MAT-SEM</t>
        </is>
      </c>
      <c r="N15" s="0">
        <f>Analisa_Jam_Alat!O15</f>
      </c>
    </row>
    <row r="16">
      <c r="A16" s="0">
        <f>Input_Jalan!A16</f>
      </c>
      <c r="B16" s="0">
        <f>Input_Jalan!B16</f>
      </c>
      <c r="C16" s="0">
        <f>Input_Jalan!F16</f>
      </c>
      <c r="D16" s="0">
        <f>Input_Jalan!I16</f>
      </c>
      <c r="E16" s="0">
        <f>Input_Jalan!K16</f>
      </c>
      <c r="F16" s="0">
        <f>Input_Jalan!K16*Asumsi!$B$5*(Input_Jalan!M16+Input_Jalan!N16+Input_Jalan!O16)</f>
      </c>
      <c r="G16" s="0">
        <f>Input_Jalan!K16*Asumsi!$B$6*Input_Jalan!O16</f>
      </c>
      <c r="H16" s="0">
        <f>=Input_Jalan!K16*Asumsi!$B$5*(Input_Jalan!M16+Input_Jalan!N16+Input_Jalan!O16)*Asumsi!$B$9</f>
      </c>
      <c r="I16" s="0">
        <f>Input_Jalan!I16*Asumsi!$B$7*Asumsi!$B$8*Input_Jalan!L16</f>
      </c>
      <c r="J16" s="0">
        <f>IF(ISNUMBER(SEARCH("SEMENISASI",Input_Jalan!H16)),Input_Jalan!K16*Asumsi!$B$50,0)</f>
      </c>
      <c r="K16" s="0">
        <f>IF(ISNUMBER(SEARCH("SEMENISASI",Input_Jalan!H16)),Input_Jalan!K16*Asumsi!$B$51,0)</f>
      </c>
      <c r="L16" s="0">
        <f>IF(ISNUMBER(SEARCH("SEMENISASI",Input_Jalan!H16)),Input_Jalan!K16*Asumsi!$B$52,0)</f>
      </c>
      <c r="M16" s="0" t="inlineStr">
        <is>
          <t>MAT-EXC / MAT-BSC / MAT-WTR / MAT-SEM</t>
        </is>
      </c>
      <c r="N16" s="0">
        <f>Analisa_Jam_Alat!O16</f>
      </c>
    </row>
    <row r="17">
      <c r="A17" s="0">
        <f>Input_Jalan!A17</f>
      </c>
      <c r="B17" s="0">
        <f>Input_Jalan!B17</f>
      </c>
      <c r="C17" s="0">
        <f>Input_Jalan!F17</f>
      </c>
      <c r="D17" s="0">
        <f>Input_Jalan!I17</f>
      </c>
      <c r="E17" s="0">
        <f>Input_Jalan!K17</f>
      </c>
      <c r="F17" s="0">
        <f>Input_Jalan!K17*Asumsi!$B$5*(Input_Jalan!M17+Input_Jalan!N17+Input_Jalan!O17)</f>
      </c>
      <c r="G17" s="0">
        <f>Input_Jalan!K17*Asumsi!$B$6*Input_Jalan!O17</f>
      </c>
      <c r="H17" s="0">
        <f>=Input_Jalan!K17*Asumsi!$B$5*(Input_Jalan!M17+Input_Jalan!N17+Input_Jalan!O17)*Asumsi!$B$9</f>
      </c>
      <c r="I17" s="0">
        <f>Input_Jalan!I17*Asumsi!$B$7*Asumsi!$B$8*Input_Jalan!L17</f>
      </c>
      <c r="J17" s="0">
        <f>IF(ISNUMBER(SEARCH("SEMENISASI",Input_Jalan!H17)),Input_Jalan!K17*Asumsi!$B$50,0)</f>
      </c>
      <c r="K17" s="0">
        <f>IF(ISNUMBER(SEARCH("SEMENISASI",Input_Jalan!H17)),Input_Jalan!K17*Asumsi!$B$51,0)</f>
      </c>
      <c r="L17" s="0">
        <f>IF(ISNUMBER(SEARCH("SEMENISASI",Input_Jalan!H17)),Input_Jalan!K17*Asumsi!$B$52,0)</f>
      </c>
      <c r="M17" s="0" t="inlineStr">
        <is>
          <t>MAT-EXC / MAT-BSC / MAT-WTR / MAT-SEM</t>
        </is>
      </c>
      <c r="N17" s="0">
        <f>Analisa_Jam_Alat!O17</f>
      </c>
    </row>
    <row r="18">
      <c r="A18" s="0">
        <f>Input_Jalan!A18</f>
      </c>
      <c r="B18" s="0">
        <f>Input_Jalan!B18</f>
      </c>
      <c r="C18" s="0">
        <f>Input_Jalan!F18</f>
      </c>
      <c r="D18" s="0">
        <f>Input_Jalan!I18</f>
      </c>
      <c r="E18" s="0">
        <f>Input_Jalan!K18</f>
      </c>
      <c r="F18" s="0">
        <f>Input_Jalan!K18*Asumsi!$B$5*(Input_Jalan!M18+Input_Jalan!N18+Input_Jalan!O18)</f>
      </c>
      <c r="G18" s="0">
        <f>Input_Jalan!K18*Asumsi!$B$6*Input_Jalan!O18</f>
      </c>
      <c r="H18" s="0">
        <f>=Input_Jalan!K18*Asumsi!$B$5*(Input_Jalan!M18+Input_Jalan!N18+Input_Jalan!O18)*Asumsi!$B$9</f>
      </c>
      <c r="I18" s="0">
        <f>Input_Jalan!I18*Asumsi!$B$7*Asumsi!$B$8*Input_Jalan!L18</f>
      </c>
      <c r="J18" s="0">
        <f>IF(ISNUMBER(SEARCH("SEMENISASI",Input_Jalan!H18)),Input_Jalan!K18*Asumsi!$B$50,0)</f>
      </c>
      <c r="K18" s="0">
        <f>IF(ISNUMBER(SEARCH("SEMENISASI",Input_Jalan!H18)),Input_Jalan!K18*Asumsi!$B$51,0)</f>
      </c>
      <c r="L18" s="0">
        <f>IF(ISNUMBER(SEARCH("SEMENISASI",Input_Jalan!H18)),Input_Jalan!K18*Asumsi!$B$52,0)</f>
      </c>
      <c r="M18" s="0" t="inlineStr">
        <is>
          <t>MAT-EXC / MAT-BSC / MAT-WTR / MAT-SEM</t>
        </is>
      </c>
      <c r="N18" s="0">
        <f>Analisa_Jam_Alat!O18</f>
      </c>
    </row>
    <row r="19">
      <c r="A19" s="0">
        <f>Input_Jalan!A19</f>
      </c>
      <c r="B19" s="0">
        <f>Input_Jalan!B19</f>
      </c>
      <c r="C19" s="0">
        <f>Input_Jalan!F19</f>
      </c>
      <c r="D19" s="0">
        <f>Input_Jalan!I19</f>
      </c>
      <c r="E19" s="0">
        <f>Input_Jalan!K19</f>
      </c>
      <c r="F19" s="0">
        <f>Input_Jalan!K19*Asumsi!$B$5*(Input_Jalan!M19+Input_Jalan!N19+Input_Jalan!O19)</f>
      </c>
      <c r="G19" s="0">
        <f>Input_Jalan!K19*Asumsi!$B$6*Input_Jalan!O19</f>
      </c>
      <c r="H19" s="0">
        <f>=Input_Jalan!K19*Asumsi!$B$5*(Input_Jalan!M19+Input_Jalan!N19+Input_Jalan!O19)*Asumsi!$B$9</f>
      </c>
      <c r="I19" s="0">
        <f>Input_Jalan!I19*Asumsi!$B$7*Asumsi!$B$8*Input_Jalan!L19</f>
      </c>
      <c r="J19" s="0">
        <f>IF(ISNUMBER(SEARCH("SEMENISASI",Input_Jalan!H19)),Input_Jalan!K19*Asumsi!$B$50,0)</f>
      </c>
      <c r="K19" s="0">
        <f>IF(ISNUMBER(SEARCH("SEMENISASI",Input_Jalan!H19)),Input_Jalan!K19*Asumsi!$B$51,0)</f>
      </c>
      <c r="L19" s="0">
        <f>IF(ISNUMBER(SEARCH("SEMENISASI",Input_Jalan!H19)),Input_Jalan!K19*Asumsi!$B$52,0)</f>
      </c>
      <c r="M19" s="0" t="inlineStr">
        <is>
          <t>MAT-EXC / MAT-BSC / MAT-WTR / MAT-SEM</t>
        </is>
      </c>
      <c r="N19" s="0">
        <f>Analisa_Jam_Alat!O19</f>
      </c>
    </row>
    <row r="20">
      <c r="A20" s="0">
        <f>Input_Jalan!A20</f>
      </c>
      <c r="B20" s="0">
        <f>Input_Jalan!B20</f>
      </c>
      <c r="C20" s="0">
        <f>Input_Jalan!F20</f>
      </c>
      <c r="D20" s="0">
        <f>Input_Jalan!I20</f>
      </c>
      <c r="E20" s="0">
        <f>Input_Jalan!K20</f>
      </c>
      <c r="F20" s="0">
        <f>Input_Jalan!K20*Asumsi!$B$5*(Input_Jalan!M20+Input_Jalan!N20+Input_Jalan!O20)</f>
      </c>
      <c r="G20" s="0">
        <f>Input_Jalan!K20*Asumsi!$B$6*Input_Jalan!O20</f>
      </c>
      <c r="H20" s="0">
        <f>=Input_Jalan!K20*Asumsi!$B$5*(Input_Jalan!M20+Input_Jalan!N20+Input_Jalan!O20)*Asumsi!$B$9</f>
      </c>
      <c r="I20" s="0">
        <f>Input_Jalan!I20*Asumsi!$B$7*Asumsi!$B$8*Input_Jalan!L20</f>
      </c>
      <c r="J20" s="0">
        <f>IF(ISNUMBER(SEARCH("SEMENISASI",Input_Jalan!H20)),Input_Jalan!K20*Asumsi!$B$50,0)</f>
      </c>
      <c r="K20" s="0">
        <f>IF(ISNUMBER(SEARCH("SEMENISASI",Input_Jalan!H20)),Input_Jalan!K20*Asumsi!$B$51,0)</f>
      </c>
      <c r="L20" s="0">
        <f>IF(ISNUMBER(SEARCH("SEMENISASI",Input_Jalan!H20)),Input_Jalan!K20*Asumsi!$B$52,0)</f>
      </c>
      <c r="M20" s="0" t="inlineStr">
        <is>
          <t>MAT-EXC / MAT-BSC / MAT-WTR / MAT-SEM</t>
        </is>
      </c>
      <c r="N20" s="0">
        <f>Analisa_Jam_Alat!O20</f>
      </c>
    </row>
    <row r="21">
      <c r="A21" s="0">
        <f>Input_Jalan!A21</f>
      </c>
      <c r="B21" s="0">
        <f>Input_Jalan!B21</f>
      </c>
      <c r="C21" s="0">
        <f>Input_Jalan!F21</f>
      </c>
      <c r="D21" s="0">
        <f>Input_Jalan!I21</f>
      </c>
      <c r="E21" s="0">
        <f>Input_Jalan!K21</f>
      </c>
      <c r="F21" s="0">
        <f>Input_Jalan!K21*Asumsi!$B$5*(Input_Jalan!M21+Input_Jalan!N21+Input_Jalan!O21)</f>
      </c>
      <c r="G21" s="0">
        <f>Input_Jalan!K21*Asumsi!$B$6*Input_Jalan!O21</f>
      </c>
      <c r="H21" s="0">
        <f>=Input_Jalan!K21*Asumsi!$B$5*(Input_Jalan!M21+Input_Jalan!N21+Input_Jalan!O21)*Asumsi!$B$9</f>
      </c>
      <c r="I21" s="0">
        <f>Input_Jalan!I21*Asumsi!$B$7*Asumsi!$B$8*Input_Jalan!L21</f>
      </c>
      <c r="J21" s="0">
        <f>IF(ISNUMBER(SEARCH("SEMENISASI",Input_Jalan!H21)),Input_Jalan!K21*Asumsi!$B$50,0)</f>
      </c>
      <c r="K21" s="0">
        <f>IF(ISNUMBER(SEARCH("SEMENISASI",Input_Jalan!H21)),Input_Jalan!K21*Asumsi!$B$51,0)</f>
      </c>
      <c r="L21" s="0">
        <f>IF(ISNUMBER(SEARCH("SEMENISASI",Input_Jalan!H21)),Input_Jalan!K21*Asumsi!$B$52,0)</f>
      </c>
      <c r="M21" s="0" t="inlineStr">
        <is>
          <t>MAT-EXC / MAT-BSC / MAT-WTR / MAT-SEM</t>
        </is>
      </c>
      <c r="N21" s="0">
        <f>Analisa_Jam_Alat!O21</f>
      </c>
    </row>
    <row r="22">
      <c r="A22" s="0">
        <f>Input_Jalan!A22</f>
      </c>
      <c r="B22" s="0">
        <f>Input_Jalan!B22</f>
      </c>
      <c r="C22" s="0">
        <f>Input_Jalan!F22</f>
      </c>
      <c r="D22" s="0">
        <f>Input_Jalan!I22</f>
      </c>
      <c r="E22" s="0">
        <f>Input_Jalan!K22</f>
      </c>
      <c r="F22" s="0">
        <f>Input_Jalan!K22*Asumsi!$B$5*(Input_Jalan!M22+Input_Jalan!N22+Input_Jalan!O22)</f>
      </c>
      <c r="G22" s="0">
        <f>Input_Jalan!K22*Asumsi!$B$6*Input_Jalan!O22</f>
      </c>
      <c r="H22" s="0">
        <f>=Input_Jalan!K22*Asumsi!$B$5*(Input_Jalan!M22+Input_Jalan!N22+Input_Jalan!O22)*Asumsi!$B$9</f>
      </c>
      <c r="I22" s="0">
        <f>Input_Jalan!I22*Asumsi!$B$7*Asumsi!$B$8*Input_Jalan!L22</f>
      </c>
      <c r="J22" s="0">
        <f>IF(ISNUMBER(SEARCH("SEMENISASI",Input_Jalan!H22)),Input_Jalan!K22*Asumsi!$B$50,0)</f>
      </c>
      <c r="K22" s="0">
        <f>IF(ISNUMBER(SEARCH("SEMENISASI",Input_Jalan!H22)),Input_Jalan!K22*Asumsi!$B$51,0)</f>
      </c>
      <c r="L22" s="0">
        <f>IF(ISNUMBER(SEARCH("SEMENISASI",Input_Jalan!H22)),Input_Jalan!K22*Asumsi!$B$52,0)</f>
      </c>
      <c r="M22" s="0" t="inlineStr">
        <is>
          <t>MAT-EXC / MAT-BSC / MAT-WTR / MAT-SEM</t>
        </is>
      </c>
      <c r="N22" s="0">
        <f>Analisa_Jam_Alat!O22</f>
      </c>
    </row>
    <row r="23">
      <c r="A23" s="0">
        <f>Input_Jalan!A23</f>
      </c>
      <c r="B23" s="0">
        <f>Input_Jalan!B23</f>
      </c>
      <c r="C23" s="0">
        <f>Input_Jalan!F23</f>
      </c>
      <c r="D23" s="0">
        <f>Input_Jalan!I23</f>
      </c>
      <c r="E23" s="0">
        <f>Input_Jalan!K23</f>
      </c>
      <c r="F23" s="0">
        <f>Input_Jalan!K23*Asumsi!$B$5*(Input_Jalan!M23+Input_Jalan!N23+Input_Jalan!O23)</f>
      </c>
      <c r="G23" s="0">
        <f>Input_Jalan!K23*Asumsi!$B$6*Input_Jalan!O23</f>
      </c>
      <c r="H23" s="0">
        <f>=Input_Jalan!K23*Asumsi!$B$5*(Input_Jalan!M23+Input_Jalan!N23+Input_Jalan!O23)*Asumsi!$B$9</f>
      </c>
      <c r="I23" s="0">
        <f>Input_Jalan!I23*Asumsi!$B$7*Asumsi!$B$8*Input_Jalan!L23</f>
      </c>
      <c r="J23" s="0">
        <f>IF(ISNUMBER(SEARCH("SEMENISASI",Input_Jalan!H23)),Input_Jalan!K23*Asumsi!$B$50,0)</f>
      </c>
      <c r="K23" s="0">
        <f>IF(ISNUMBER(SEARCH("SEMENISASI",Input_Jalan!H23)),Input_Jalan!K23*Asumsi!$B$51,0)</f>
      </c>
      <c r="L23" s="0">
        <f>IF(ISNUMBER(SEARCH("SEMENISASI",Input_Jalan!H23)),Input_Jalan!K23*Asumsi!$B$52,0)</f>
      </c>
      <c r="M23" s="0" t="inlineStr">
        <is>
          <t>MAT-EXC / MAT-BSC / MAT-WTR / MAT-SEM</t>
        </is>
      </c>
      <c r="N23" s="0">
        <f>Analisa_Jam_Alat!O23</f>
      </c>
    </row>
    <row r="24">
      <c r="A24" s="0">
        <f>Input_Jalan!A24</f>
      </c>
      <c r="B24" s="0">
        <f>Input_Jalan!B24</f>
      </c>
      <c r="C24" s="0">
        <f>Input_Jalan!F24</f>
      </c>
      <c r="D24" s="0">
        <f>Input_Jalan!I24</f>
      </c>
      <c r="E24" s="0">
        <f>Input_Jalan!K24</f>
      </c>
      <c r="F24" s="0">
        <f>Input_Jalan!K24*Asumsi!$B$5*(Input_Jalan!M24+Input_Jalan!N24+Input_Jalan!O24)</f>
      </c>
      <c r="G24" s="0">
        <f>Input_Jalan!K24*Asumsi!$B$6*Input_Jalan!O24</f>
      </c>
      <c r="H24" s="0">
        <f>=Input_Jalan!K24*Asumsi!$B$5*(Input_Jalan!M24+Input_Jalan!N24+Input_Jalan!O24)*Asumsi!$B$9</f>
      </c>
      <c r="I24" s="0">
        <f>Input_Jalan!I24*Asumsi!$B$7*Asumsi!$B$8*Input_Jalan!L24</f>
      </c>
      <c r="J24" s="0">
        <f>IF(ISNUMBER(SEARCH("SEMENISASI",Input_Jalan!H24)),Input_Jalan!K24*Asumsi!$B$50,0)</f>
      </c>
      <c r="K24" s="0">
        <f>IF(ISNUMBER(SEARCH("SEMENISASI",Input_Jalan!H24)),Input_Jalan!K24*Asumsi!$B$51,0)</f>
      </c>
      <c r="L24" s="0">
        <f>IF(ISNUMBER(SEARCH("SEMENISASI",Input_Jalan!H24)),Input_Jalan!K24*Asumsi!$B$52,0)</f>
      </c>
      <c r="M24" s="0" t="inlineStr">
        <is>
          <t>MAT-EXC / MAT-BSC / MAT-WTR / MAT-SEM</t>
        </is>
      </c>
      <c r="N24" s="0">
        <f>Analisa_Jam_Alat!O24</f>
      </c>
    </row>
    <row r="25">
      <c r="A25" s="0">
        <f>Input_Jalan!A25</f>
      </c>
      <c r="B25" s="0">
        <f>Input_Jalan!B25</f>
      </c>
      <c r="C25" s="0">
        <f>Input_Jalan!F25</f>
      </c>
      <c r="D25" s="0">
        <f>Input_Jalan!I25</f>
      </c>
      <c r="E25" s="0">
        <f>Input_Jalan!K25</f>
      </c>
      <c r="F25" s="0">
        <f>Input_Jalan!K25*Asumsi!$B$5*(Input_Jalan!M25+Input_Jalan!N25+Input_Jalan!O25)</f>
      </c>
      <c r="G25" s="0">
        <f>Input_Jalan!K25*Asumsi!$B$6*Input_Jalan!O25</f>
      </c>
      <c r="H25" s="0">
        <f>=Input_Jalan!K25*Asumsi!$B$5*(Input_Jalan!M25+Input_Jalan!N25+Input_Jalan!O25)*Asumsi!$B$9</f>
      </c>
      <c r="I25" s="0">
        <f>Input_Jalan!I25*Asumsi!$B$7*Asumsi!$B$8*Input_Jalan!L25</f>
      </c>
      <c r="J25" s="0">
        <f>IF(ISNUMBER(SEARCH("SEMENISASI",Input_Jalan!H25)),Input_Jalan!K25*Asumsi!$B$50,0)</f>
      </c>
      <c r="K25" s="0">
        <f>IF(ISNUMBER(SEARCH("SEMENISASI",Input_Jalan!H25)),Input_Jalan!K25*Asumsi!$B$51,0)</f>
      </c>
      <c r="L25" s="0">
        <f>IF(ISNUMBER(SEARCH("SEMENISASI",Input_Jalan!H25)),Input_Jalan!K25*Asumsi!$B$52,0)</f>
      </c>
      <c r="M25" s="0" t="inlineStr">
        <is>
          <t>MAT-EXC / MAT-BSC / MAT-WTR / MAT-SEM</t>
        </is>
      </c>
      <c r="N25" s="0">
        <f>Analisa_Jam_Alat!O25</f>
      </c>
    </row>
    <row r="26">
      <c r="A26" s="0">
        <f>Input_Jalan!A26</f>
      </c>
      <c r="B26" s="0">
        <f>Input_Jalan!B26</f>
      </c>
      <c r="C26" s="0">
        <f>Input_Jalan!F26</f>
      </c>
      <c r="D26" s="0">
        <f>Input_Jalan!I26</f>
      </c>
      <c r="E26" s="0">
        <f>Input_Jalan!K26</f>
      </c>
      <c r="F26" s="0">
        <f>Input_Jalan!K26*Asumsi!$B$5*(Input_Jalan!M26+Input_Jalan!N26+Input_Jalan!O26)</f>
      </c>
      <c r="G26" s="0">
        <f>Input_Jalan!K26*Asumsi!$B$6*Input_Jalan!O26</f>
      </c>
      <c r="H26" s="0">
        <f>=Input_Jalan!K26*Asumsi!$B$5*(Input_Jalan!M26+Input_Jalan!N26+Input_Jalan!O26)*Asumsi!$B$9</f>
      </c>
      <c r="I26" s="0">
        <f>Input_Jalan!I26*Asumsi!$B$7*Asumsi!$B$8*Input_Jalan!L26</f>
      </c>
      <c r="J26" s="0">
        <f>IF(ISNUMBER(SEARCH("SEMENISASI",Input_Jalan!H26)),Input_Jalan!K26*Asumsi!$B$50,0)</f>
      </c>
      <c r="K26" s="0">
        <f>IF(ISNUMBER(SEARCH("SEMENISASI",Input_Jalan!H26)),Input_Jalan!K26*Asumsi!$B$51,0)</f>
      </c>
      <c r="L26" s="0">
        <f>IF(ISNUMBER(SEARCH("SEMENISASI",Input_Jalan!H26)),Input_Jalan!K26*Asumsi!$B$52,0)</f>
      </c>
      <c r="M26" s="0" t="inlineStr">
        <is>
          <t>MAT-EXC / MAT-BSC / MAT-WTR / MAT-SEM</t>
        </is>
      </c>
      <c r="N26" s="0">
        <f>Analisa_Jam_Alat!O26</f>
      </c>
    </row>
    <row r="27">
      <c r="A27" s="0">
        <f>Input_Jalan!A27</f>
      </c>
      <c r="B27" s="0">
        <f>Input_Jalan!B27</f>
      </c>
      <c r="C27" s="0">
        <f>Input_Jalan!F27</f>
      </c>
      <c r="D27" s="0">
        <f>Input_Jalan!I27</f>
      </c>
      <c r="E27" s="0">
        <f>Input_Jalan!K27</f>
      </c>
      <c r="F27" s="0">
        <f>Input_Jalan!K27*Asumsi!$B$5*(Input_Jalan!M27+Input_Jalan!N27+Input_Jalan!O27)</f>
      </c>
      <c r="G27" s="0">
        <f>Input_Jalan!K27*Asumsi!$B$6*Input_Jalan!O27</f>
      </c>
      <c r="H27" s="0">
        <f>=Input_Jalan!K27*Asumsi!$B$5*(Input_Jalan!M27+Input_Jalan!N27+Input_Jalan!O27)*Asumsi!$B$9</f>
      </c>
      <c r="I27" s="0">
        <f>Input_Jalan!I27*Asumsi!$B$7*Asumsi!$B$8*Input_Jalan!L27</f>
      </c>
      <c r="J27" s="0">
        <f>IF(ISNUMBER(SEARCH("SEMENISASI",Input_Jalan!H27)),Input_Jalan!K27*Asumsi!$B$50,0)</f>
      </c>
      <c r="K27" s="0">
        <f>IF(ISNUMBER(SEARCH("SEMENISASI",Input_Jalan!H27)),Input_Jalan!K27*Asumsi!$B$51,0)</f>
      </c>
      <c r="L27" s="0">
        <f>IF(ISNUMBER(SEARCH("SEMENISASI",Input_Jalan!H27)),Input_Jalan!K27*Asumsi!$B$52,0)</f>
      </c>
      <c r="M27" s="0" t="inlineStr">
        <is>
          <t>MAT-EXC / MAT-BSC / MAT-WTR / MAT-SEM</t>
        </is>
      </c>
      <c r="N27" s="0">
        <f>Analisa_Jam_Alat!O27</f>
      </c>
    </row>
    <row r="28">
      <c r="A28" s="0">
        <f>Input_Jalan!A28</f>
      </c>
      <c r="B28" s="0">
        <f>Input_Jalan!B28</f>
      </c>
      <c r="C28" s="0">
        <f>Input_Jalan!F28</f>
      </c>
      <c r="D28" s="0">
        <f>Input_Jalan!I28</f>
      </c>
      <c r="E28" s="0">
        <f>Input_Jalan!K28</f>
      </c>
      <c r="F28" s="0">
        <f>Input_Jalan!K28*Asumsi!$B$5*(Input_Jalan!M28+Input_Jalan!N28+Input_Jalan!O28)</f>
      </c>
      <c r="G28" s="0">
        <f>Input_Jalan!K28*Asumsi!$B$6*Input_Jalan!O28</f>
      </c>
      <c r="H28" s="0">
        <f>=Input_Jalan!K28*Asumsi!$B$5*(Input_Jalan!M28+Input_Jalan!N28+Input_Jalan!O28)*Asumsi!$B$9</f>
      </c>
      <c r="I28" s="0">
        <f>Input_Jalan!I28*Asumsi!$B$7*Asumsi!$B$8*Input_Jalan!L28</f>
      </c>
      <c r="J28" s="0">
        <f>IF(ISNUMBER(SEARCH("SEMENISASI",Input_Jalan!H28)),Input_Jalan!K28*Asumsi!$B$50,0)</f>
      </c>
      <c r="K28" s="0">
        <f>IF(ISNUMBER(SEARCH("SEMENISASI",Input_Jalan!H28)),Input_Jalan!K28*Asumsi!$B$51,0)</f>
      </c>
      <c r="L28" s="0">
        <f>IF(ISNUMBER(SEARCH("SEMENISASI",Input_Jalan!H28)),Input_Jalan!K28*Asumsi!$B$52,0)</f>
      </c>
      <c r="M28" s="0" t="inlineStr">
        <is>
          <t>MAT-EXC / MAT-BSC / MAT-WTR / MAT-SEM</t>
        </is>
      </c>
      <c r="N28" s="0">
        <f>Analisa_Jam_Alat!O28</f>
      </c>
    </row>
    <row r="29">
      <c r="A29" s="0">
        <f>Input_Jalan!A29</f>
      </c>
      <c r="B29" s="0">
        <f>Input_Jalan!B29</f>
      </c>
      <c r="C29" s="0">
        <f>Input_Jalan!F29</f>
      </c>
      <c r="D29" s="0">
        <f>Input_Jalan!I29</f>
      </c>
      <c r="E29" s="0">
        <f>Input_Jalan!K29</f>
      </c>
      <c r="F29" s="0">
        <f>Input_Jalan!K29*Asumsi!$B$5*(Input_Jalan!M29+Input_Jalan!N29+Input_Jalan!O29)</f>
      </c>
      <c r="G29" s="0">
        <f>Input_Jalan!K29*Asumsi!$B$6*Input_Jalan!O29</f>
      </c>
      <c r="H29" s="0">
        <f>=Input_Jalan!K29*Asumsi!$B$5*(Input_Jalan!M29+Input_Jalan!N29+Input_Jalan!O29)*Asumsi!$B$9</f>
      </c>
      <c r="I29" s="0">
        <f>Input_Jalan!I29*Asumsi!$B$7*Asumsi!$B$8*Input_Jalan!L29</f>
      </c>
      <c r="J29" s="0">
        <f>IF(ISNUMBER(SEARCH("SEMENISASI",Input_Jalan!H29)),Input_Jalan!K29*Asumsi!$B$50,0)</f>
      </c>
      <c r="K29" s="0">
        <f>IF(ISNUMBER(SEARCH("SEMENISASI",Input_Jalan!H29)),Input_Jalan!K29*Asumsi!$B$51,0)</f>
      </c>
      <c r="L29" s="0">
        <f>IF(ISNUMBER(SEARCH("SEMENISASI",Input_Jalan!H29)),Input_Jalan!K29*Asumsi!$B$52,0)</f>
      </c>
      <c r="M29" s="0" t="inlineStr">
        <is>
          <t>MAT-EXC / MAT-BSC / MAT-WTR / MAT-SEM</t>
        </is>
      </c>
      <c r="N29" s="0">
        <f>Analisa_Jam_Alat!O29</f>
      </c>
    </row>
    <row r="30">
      <c r="A30" s="0">
        <f>Input_Jalan!A30</f>
      </c>
      <c r="B30" s="0">
        <f>Input_Jalan!B30</f>
      </c>
      <c r="C30" s="0">
        <f>Input_Jalan!F30</f>
      </c>
      <c r="D30" s="0">
        <f>Input_Jalan!I30</f>
      </c>
      <c r="E30" s="0">
        <f>Input_Jalan!K30</f>
      </c>
      <c r="F30" s="0">
        <f>Input_Jalan!K30*Asumsi!$B$5*(Input_Jalan!M30+Input_Jalan!N30+Input_Jalan!O30)</f>
      </c>
      <c r="G30" s="0">
        <f>Input_Jalan!K30*Asumsi!$B$6*Input_Jalan!O30</f>
      </c>
      <c r="H30" s="0">
        <f>=Input_Jalan!K30*Asumsi!$B$5*(Input_Jalan!M30+Input_Jalan!N30+Input_Jalan!O30)*Asumsi!$B$9</f>
      </c>
      <c r="I30" s="0">
        <f>Input_Jalan!I30*Asumsi!$B$7*Asumsi!$B$8*Input_Jalan!L30</f>
      </c>
      <c r="J30" s="0">
        <f>IF(ISNUMBER(SEARCH("SEMENISASI",Input_Jalan!H30)),Input_Jalan!K30*Asumsi!$B$50,0)</f>
      </c>
      <c r="K30" s="0">
        <f>IF(ISNUMBER(SEARCH("SEMENISASI",Input_Jalan!H30)),Input_Jalan!K30*Asumsi!$B$51,0)</f>
      </c>
      <c r="L30" s="0">
        <f>IF(ISNUMBER(SEARCH("SEMENISASI",Input_Jalan!H30)),Input_Jalan!K30*Asumsi!$B$52,0)</f>
      </c>
      <c r="M30" s="0" t="inlineStr">
        <is>
          <t>MAT-EXC / MAT-BSC / MAT-WTR / MAT-SEM</t>
        </is>
      </c>
      <c r="N30" s="0">
        <f>Analisa_Jam_Alat!O30</f>
      </c>
    </row>
    <row r="31">
      <c r="A31" s="0">
        <f>Input_Jalan!A31</f>
      </c>
      <c r="B31" s="0">
        <f>Input_Jalan!B31</f>
      </c>
      <c r="C31" s="0">
        <f>Input_Jalan!F31</f>
      </c>
      <c r="D31" s="0">
        <f>Input_Jalan!I31</f>
      </c>
      <c r="E31" s="0">
        <f>Input_Jalan!K31</f>
      </c>
      <c r="F31" s="0">
        <f>Input_Jalan!K31*Asumsi!$B$5*(Input_Jalan!M31+Input_Jalan!N31+Input_Jalan!O31)</f>
      </c>
      <c r="G31" s="0">
        <f>Input_Jalan!K31*Asumsi!$B$6*Input_Jalan!O31</f>
      </c>
      <c r="H31" s="0">
        <f>=Input_Jalan!K31*Asumsi!$B$5*(Input_Jalan!M31+Input_Jalan!N31+Input_Jalan!O31)*Asumsi!$B$9</f>
      </c>
      <c r="I31" s="0">
        <f>Input_Jalan!I31*Asumsi!$B$7*Asumsi!$B$8*Input_Jalan!L31</f>
      </c>
      <c r="J31" s="0">
        <f>IF(ISNUMBER(SEARCH("SEMENISASI",Input_Jalan!H31)),Input_Jalan!K31*Asumsi!$B$50,0)</f>
      </c>
      <c r="K31" s="0">
        <f>IF(ISNUMBER(SEARCH("SEMENISASI",Input_Jalan!H31)),Input_Jalan!K31*Asumsi!$B$51,0)</f>
      </c>
      <c r="L31" s="0">
        <f>IF(ISNUMBER(SEARCH("SEMENISASI",Input_Jalan!H31)),Input_Jalan!K31*Asumsi!$B$52,0)</f>
      </c>
      <c r="M31" s="0" t="inlineStr">
        <is>
          <t>MAT-EXC / MAT-BSC / MAT-WTR / MAT-SEM</t>
        </is>
      </c>
      <c r="N31" s="0">
        <f>Analisa_Jam_Alat!O31</f>
      </c>
    </row>
    <row r="32">
      <c r="A32" s="0">
        <f>Input_Jalan!A32</f>
      </c>
      <c r="B32" s="0">
        <f>Input_Jalan!B32</f>
      </c>
      <c r="C32" s="0">
        <f>Input_Jalan!F32</f>
      </c>
      <c r="D32" s="0">
        <f>Input_Jalan!I32</f>
      </c>
      <c r="E32" s="0">
        <f>Input_Jalan!K32</f>
      </c>
      <c r="F32" s="0">
        <f>Input_Jalan!K32*Asumsi!$B$5*(Input_Jalan!M32+Input_Jalan!N32+Input_Jalan!O32)</f>
      </c>
      <c r="G32" s="0">
        <f>Input_Jalan!K32*Asumsi!$B$6*Input_Jalan!O32</f>
      </c>
      <c r="H32" s="0">
        <f>=Input_Jalan!K32*Asumsi!$B$5*(Input_Jalan!M32+Input_Jalan!N32+Input_Jalan!O32)*Asumsi!$B$9</f>
      </c>
      <c r="I32" s="0">
        <f>Input_Jalan!I32*Asumsi!$B$7*Asumsi!$B$8*Input_Jalan!L32</f>
      </c>
      <c r="J32" s="0">
        <f>IF(ISNUMBER(SEARCH("SEMENISASI",Input_Jalan!H32)),Input_Jalan!K32*Asumsi!$B$50,0)</f>
      </c>
      <c r="K32" s="0">
        <f>IF(ISNUMBER(SEARCH("SEMENISASI",Input_Jalan!H32)),Input_Jalan!K32*Asumsi!$B$51,0)</f>
      </c>
      <c r="L32" s="0">
        <f>IF(ISNUMBER(SEARCH("SEMENISASI",Input_Jalan!H32)),Input_Jalan!K32*Asumsi!$B$52,0)</f>
      </c>
      <c r="M32" s="0" t="inlineStr">
        <is>
          <t>MAT-EXC / MAT-BSC / MAT-WTR / MAT-SEM</t>
        </is>
      </c>
      <c r="N32" s="0">
        <f>Analisa_Jam_Alat!O32</f>
      </c>
    </row>
    <row r="33">
      <c r="A33" s="0">
        <f>Input_Jalan!A33</f>
      </c>
      <c r="B33" s="0">
        <f>Input_Jalan!B33</f>
      </c>
      <c r="C33" s="0">
        <f>Input_Jalan!F33</f>
      </c>
      <c r="D33" s="0">
        <f>Input_Jalan!I33</f>
      </c>
      <c r="E33" s="0">
        <f>Input_Jalan!K33</f>
      </c>
      <c r="F33" s="0">
        <f>Input_Jalan!K33*Asumsi!$B$5*(Input_Jalan!M33+Input_Jalan!N33+Input_Jalan!O33)</f>
      </c>
      <c r="G33" s="0">
        <f>Input_Jalan!K33*Asumsi!$B$6*Input_Jalan!O33</f>
      </c>
      <c r="H33" s="0">
        <f>=Input_Jalan!K33*Asumsi!$B$5*(Input_Jalan!M33+Input_Jalan!N33+Input_Jalan!O33)*Asumsi!$B$9</f>
      </c>
      <c r="I33" s="0">
        <f>Input_Jalan!I33*Asumsi!$B$7*Asumsi!$B$8*Input_Jalan!L33</f>
      </c>
      <c r="J33" s="0">
        <f>IF(ISNUMBER(SEARCH("SEMENISASI",Input_Jalan!H33)),Input_Jalan!K33*Asumsi!$B$50,0)</f>
      </c>
      <c r="K33" s="0">
        <f>IF(ISNUMBER(SEARCH("SEMENISASI",Input_Jalan!H33)),Input_Jalan!K33*Asumsi!$B$51,0)</f>
      </c>
      <c r="L33" s="0">
        <f>IF(ISNUMBER(SEARCH("SEMENISASI",Input_Jalan!H33)),Input_Jalan!K33*Asumsi!$B$52,0)</f>
      </c>
      <c r="M33" s="0" t="inlineStr">
        <is>
          <t>MAT-EXC / MAT-BSC / MAT-WTR / MAT-SEM</t>
        </is>
      </c>
      <c r="N33" s="0">
        <f>Analisa_Jam_Alat!O33</f>
      </c>
    </row>
    <row r="34">
      <c r="A34" s="0">
        <f>Input_Jalan!A34</f>
      </c>
      <c r="B34" s="0">
        <f>Input_Jalan!B34</f>
      </c>
      <c r="C34" s="0">
        <f>Input_Jalan!F34</f>
      </c>
      <c r="D34" s="0">
        <f>Input_Jalan!I34</f>
      </c>
      <c r="E34" s="0">
        <f>Input_Jalan!K34</f>
      </c>
      <c r="F34" s="0">
        <f>Input_Jalan!K34*Asumsi!$B$5*(Input_Jalan!M34+Input_Jalan!N34+Input_Jalan!O34)</f>
      </c>
      <c r="G34" s="0">
        <f>Input_Jalan!K34*Asumsi!$B$6*Input_Jalan!O34</f>
      </c>
      <c r="H34" s="0">
        <f>=Input_Jalan!K34*Asumsi!$B$5*(Input_Jalan!M34+Input_Jalan!N34+Input_Jalan!O34)*Asumsi!$B$9</f>
      </c>
      <c r="I34" s="0">
        <f>Input_Jalan!I34*Asumsi!$B$7*Asumsi!$B$8*Input_Jalan!L34</f>
      </c>
      <c r="J34" s="0">
        <f>IF(ISNUMBER(SEARCH("SEMENISASI",Input_Jalan!H34)),Input_Jalan!K34*Asumsi!$B$50,0)</f>
      </c>
      <c r="K34" s="0">
        <f>IF(ISNUMBER(SEARCH("SEMENISASI",Input_Jalan!H34)),Input_Jalan!K34*Asumsi!$B$51,0)</f>
      </c>
      <c r="L34" s="0">
        <f>IF(ISNUMBER(SEARCH("SEMENISASI",Input_Jalan!H34)),Input_Jalan!K34*Asumsi!$B$52,0)</f>
      </c>
      <c r="M34" s="0" t="inlineStr">
        <is>
          <t>MAT-EXC / MAT-BSC / MAT-WTR / MAT-SEM</t>
        </is>
      </c>
      <c r="N34" s="0">
        <f>Analisa_Jam_Alat!O34</f>
      </c>
    </row>
    <row r="35">
      <c r="A35" s="0">
        <f>Input_Jalan!A35</f>
      </c>
      <c r="B35" s="0">
        <f>Input_Jalan!B35</f>
      </c>
      <c r="C35" s="0">
        <f>Input_Jalan!F35</f>
      </c>
      <c r="D35" s="0">
        <f>Input_Jalan!I35</f>
      </c>
      <c r="E35" s="0">
        <f>Input_Jalan!K35</f>
      </c>
      <c r="F35" s="0">
        <f>Input_Jalan!K35*Asumsi!$B$5*(Input_Jalan!M35+Input_Jalan!N35+Input_Jalan!O35)</f>
      </c>
      <c r="G35" s="0">
        <f>Input_Jalan!K35*Asumsi!$B$6*Input_Jalan!O35</f>
      </c>
      <c r="H35" s="0">
        <f>=Input_Jalan!K35*Asumsi!$B$5*(Input_Jalan!M35+Input_Jalan!N35+Input_Jalan!O35)*Asumsi!$B$9</f>
      </c>
      <c r="I35" s="0">
        <f>Input_Jalan!I35*Asumsi!$B$7*Asumsi!$B$8*Input_Jalan!L35</f>
      </c>
      <c r="J35" s="0">
        <f>IF(ISNUMBER(SEARCH("SEMENISASI",Input_Jalan!H35)),Input_Jalan!K35*Asumsi!$B$50,0)</f>
      </c>
      <c r="K35" s="0">
        <f>IF(ISNUMBER(SEARCH("SEMENISASI",Input_Jalan!H35)),Input_Jalan!K35*Asumsi!$B$51,0)</f>
      </c>
      <c r="L35" s="0">
        <f>IF(ISNUMBER(SEARCH("SEMENISASI",Input_Jalan!H35)),Input_Jalan!K35*Asumsi!$B$52,0)</f>
      </c>
      <c r="M35" s="0" t="inlineStr">
        <is>
          <t>MAT-EXC / MAT-BSC / MAT-WTR / MAT-SEM</t>
        </is>
      </c>
      <c r="N35" s="0">
        <f>Analisa_Jam_Alat!O35</f>
      </c>
    </row>
    <row r="36">
      <c r="A36" s="0">
        <f>Input_Jalan!A36</f>
      </c>
      <c r="B36" s="0">
        <f>Input_Jalan!B36</f>
      </c>
      <c r="C36" s="0">
        <f>Input_Jalan!F36</f>
      </c>
      <c r="D36" s="0">
        <f>Input_Jalan!I36</f>
      </c>
      <c r="E36" s="0">
        <f>Input_Jalan!K36</f>
      </c>
      <c r="F36" s="0">
        <f>Input_Jalan!K36*Asumsi!$B$5*(Input_Jalan!M36+Input_Jalan!N36+Input_Jalan!O36)</f>
      </c>
      <c r="G36" s="0">
        <f>Input_Jalan!K36*Asumsi!$B$6*Input_Jalan!O36</f>
      </c>
      <c r="H36" s="0">
        <f>=Input_Jalan!K36*Asumsi!$B$5*(Input_Jalan!M36+Input_Jalan!N36+Input_Jalan!O36)*Asumsi!$B$9</f>
      </c>
      <c r="I36" s="0">
        <f>Input_Jalan!I36*Asumsi!$B$7*Asumsi!$B$8*Input_Jalan!L36</f>
      </c>
      <c r="J36" s="0">
        <f>IF(ISNUMBER(SEARCH("SEMENISASI",Input_Jalan!H36)),Input_Jalan!K36*Asumsi!$B$50,0)</f>
      </c>
      <c r="K36" s="0">
        <f>IF(ISNUMBER(SEARCH("SEMENISASI",Input_Jalan!H36)),Input_Jalan!K36*Asumsi!$B$51,0)</f>
      </c>
      <c r="L36" s="0">
        <f>IF(ISNUMBER(SEARCH("SEMENISASI",Input_Jalan!H36)),Input_Jalan!K36*Asumsi!$B$52,0)</f>
      </c>
      <c r="M36" s="0" t="inlineStr">
        <is>
          <t>MAT-EXC / MAT-BSC / MAT-WTR / MAT-SEM</t>
        </is>
      </c>
      <c r="N36" s="0">
        <f>Analisa_Jam_Alat!O36</f>
      </c>
    </row>
    <row r="37">
      <c r="A37" s="0">
        <f>Input_Jalan!A37</f>
      </c>
      <c r="B37" s="0">
        <f>Input_Jalan!B37</f>
      </c>
      <c r="C37" s="0">
        <f>Input_Jalan!F37</f>
      </c>
      <c r="D37" s="0">
        <f>Input_Jalan!I37</f>
      </c>
      <c r="E37" s="0">
        <f>Input_Jalan!K37</f>
      </c>
      <c r="F37" s="0">
        <f>Input_Jalan!K37*Asumsi!$B$5*(Input_Jalan!M37+Input_Jalan!N37+Input_Jalan!O37)</f>
      </c>
      <c r="G37" s="0">
        <f>Input_Jalan!K37*Asumsi!$B$6*Input_Jalan!O37</f>
      </c>
      <c r="H37" s="0">
        <f>=Input_Jalan!K37*Asumsi!$B$5*(Input_Jalan!M37+Input_Jalan!N37+Input_Jalan!O37)*Asumsi!$B$9</f>
      </c>
      <c r="I37" s="0">
        <f>Input_Jalan!I37*Asumsi!$B$7*Asumsi!$B$8*Input_Jalan!L37</f>
      </c>
      <c r="J37" s="0">
        <f>IF(ISNUMBER(SEARCH("SEMENISASI",Input_Jalan!H37)),Input_Jalan!K37*Asumsi!$B$50,0)</f>
      </c>
      <c r="K37" s="0">
        <f>IF(ISNUMBER(SEARCH("SEMENISASI",Input_Jalan!H37)),Input_Jalan!K37*Asumsi!$B$51,0)</f>
      </c>
      <c r="L37" s="0">
        <f>IF(ISNUMBER(SEARCH("SEMENISASI",Input_Jalan!H37)),Input_Jalan!K37*Asumsi!$B$52,0)</f>
      </c>
      <c r="M37" s="0" t="inlineStr">
        <is>
          <t>MAT-EXC / MAT-BSC / MAT-WTR / MAT-SEM</t>
        </is>
      </c>
      <c r="N37" s="0">
        <f>Analisa_Jam_Alat!O37</f>
      </c>
    </row>
    <row r="38">
      <c r="A38" s="0">
        <f>Input_Jalan!A38</f>
      </c>
      <c r="B38" s="0">
        <f>Input_Jalan!B38</f>
      </c>
      <c r="C38" s="0">
        <f>Input_Jalan!F38</f>
      </c>
      <c r="D38" s="0">
        <f>Input_Jalan!I38</f>
      </c>
      <c r="E38" s="0">
        <f>Input_Jalan!K38</f>
      </c>
      <c r="F38" s="0">
        <f>Input_Jalan!K38*Asumsi!$B$5*(Input_Jalan!M38+Input_Jalan!N38+Input_Jalan!O38)</f>
      </c>
      <c r="G38" s="0">
        <f>Input_Jalan!K38*Asumsi!$B$6*Input_Jalan!O38</f>
      </c>
      <c r="H38" s="0">
        <f>=Input_Jalan!K38*Asumsi!$B$5*(Input_Jalan!M38+Input_Jalan!N38+Input_Jalan!O38)*Asumsi!$B$9</f>
      </c>
      <c r="I38" s="0">
        <f>Input_Jalan!I38*Asumsi!$B$7*Asumsi!$B$8*Input_Jalan!L38</f>
      </c>
      <c r="J38" s="0">
        <f>IF(ISNUMBER(SEARCH("SEMENISASI",Input_Jalan!H38)),Input_Jalan!K38*Asumsi!$B$50,0)</f>
      </c>
      <c r="K38" s="0">
        <f>IF(ISNUMBER(SEARCH("SEMENISASI",Input_Jalan!H38)),Input_Jalan!K38*Asumsi!$B$51,0)</f>
      </c>
      <c r="L38" s="0">
        <f>IF(ISNUMBER(SEARCH("SEMENISASI",Input_Jalan!H38)),Input_Jalan!K38*Asumsi!$B$52,0)</f>
      </c>
      <c r="M38" s="0" t="inlineStr">
        <is>
          <t>MAT-EXC / MAT-BSC / MAT-WTR / MAT-SEM</t>
        </is>
      </c>
      <c r="N38" s="0">
        <f>Analisa_Jam_Alat!O38</f>
      </c>
    </row>
    <row r="39">
      <c r="A39" s="0">
        <f>Input_Jalan!A39</f>
      </c>
      <c r="B39" s="0">
        <f>Input_Jalan!B39</f>
      </c>
      <c r="C39" s="0">
        <f>Input_Jalan!F39</f>
      </c>
      <c r="D39" s="0">
        <f>Input_Jalan!I39</f>
      </c>
      <c r="E39" s="0">
        <f>Input_Jalan!K39</f>
      </c>
      <c r="F39" s="0">
        <f>Input_Jalan!K39*Asumsi!$B$5*(Input_Jalan!M39+Input_Jalan!N39+Input_Jalan!O39)</f>
      </c>
      <c r="G39" s="0">
        <f>Input_Jalan!K39*Asumsi!$B$6*Input_Jalan!O39</f>
      </c>
      <c r="H39" s="0">
        <f>=Input_Jalan!K39*Asumsi!$B$5*(Input_Jalan!M39+Input_Jalan!N39+Input_Jalan!O39)*Asumsi!$B$9</f>
      </c>
      <c r="I39" s="0">
        <f>Input_Jalan!I39*Asumsi!$B$7*Asumsi!$B$8*Input_Jalan!L39</f>
      </c>
      <c r="J39" s="0">
        <f>IF(ISNUMBER(SEARCH("SEMENISASI",Input_Jalan!H39)),Input_Jalan!K39*Asumsi!$B$50,0)</f>
      </c>
      <c r="K39" s="0">
        <f>IF(ISNUMBER(SEARCH("SEMENISASI",Input_Jalan!H39)),Input_Jalan!K39*Asumsi!$B$51,0)</f>
      </c>
      <c r="L39" s="0">
        <f>IF(ISNUMBER(SEARCH("SEMENISASI",Input_Jalan!H39)),Input_Jalan!K39*Asumsi!$B$52,0)</f>
      </c>
      <c r="M39" s="0" t="inlineStr">
        <is>
          <t>MAT-EXC / MAT-BSC / MAT-WTR / MAT-SEM</t>
        </is>
      </c>
      <c r="N39" s="0">
        <f>Analisa_Jam_Alat!O39</f>
      </c>
    </row>
    <row r="40">
      <c r="A40" s="0">
        <f>Input_Jalan!A40</f>
      </c>
      <c r="B40" s="0">
        <f>Input_Jalan!B40</f>
      </c>
      <c r="C40" s="0">
        <f>Input_Jalan!F40</f>
      </c>
      <c r="D40" s="0">
        <f>Input_Jalan!I40</f>
      </c>
      <c r="E40" s="0">
        <f>Input_Jalan!K40</f>
      </c>
      <c r="F40" s="0">
        <f>Input_Jalan!K40*Asumsi!$B$5*(Input_Jalan!M40+Input_Jalan!N40+Input_Jalan!O40)</f>
      </c>
      <c r="G40" s="0">
        <f>Input_Jalan!K40*Asumsi!$B$6*Input_Jalan!O40</f>
      </c>
      <c r="H40" s="0">
        <f>=Input_Jalan!K40*Asumsi!$B$5*(Input_Jalan!M40+Input_Jalan!N40+Input_Jalan!O40)*Asumsi!$B$9</f>
      </c>
      <c r="I40" s="0">
        <f>Input_Jalan!I40*Asumsi!$B$7*Asumsi!$B$8*Input_Jalan!L40</f>
      </c>
      <c r="J40" s="0">
        <f>IF(ISNUMBER(SEARCH("SEMENISASI",Input_Jalan!H40)),Input_Jalan!K40*Asumsi!$B$50,0)</f>
      </c>
      <c r="K40" s="0">
        <f>IF(ISNUMBER(SEARCH("SEMENISASI",Input_Jalan!H40)),Input_Jalan!K40*Asumsi!$B$51,0)</f>
      </c>
      <c r="L40" s="0">
        <f>IF(ISNUMBER(SEARCH("SEMENISASI",Input_Jalan!H40)),Input_Jalan!K40*Asumsi!$B$52,0)</f>
      </c>
      <c r="M40" s="0" t="inlineStr">
        <is>
          <t>MAT-EXC / MAT-BSC / MAT-WTR / MAT-SEM</t>
        </is>
      </c>
      <c r="N40" s="0">
        <f>Analisa_Jam_Alat!O40</f>
      </c>
    </row>
    <row r="41">
      <c r="A41" s="0">
        <f>Input_Jalan!A41</f>
      </c>
      <c r="B41" s="0">
        <f>Input_Jalan!B41</f>
      </c>
      <c r="C41" s="0">
        <f>Input_Jalan!F41</f>
      </c>
      <c r="D41" s="0">
        <f>Input_Jalan!I41</f>
      </c>
      <c r="E41" s="0">
        <f>Input_Jalan!K41</f>
      </c>
      <c r="F41" s="0">
        <f>Input_Jalan!K41*Asumsi!$B$5*(Input_Jalan!M41+Input_Jalan!N41+Input_Jalan!O41)</f>
      </c>
      <c r="G41" s="0">
        <f>Input_Jalan!K41*Asumsi!$B$6*Input_Jalan!O41</f>
      </c>
      <c r="H41" s="0">
        <f>=Input_Jalan!K41*Asumsi!$B$5*(Input_Jalan!M41+Input_Jalan!N41+Input_Jalan!O41)*Asumsi!$B$9</f>
      </c>
      <c r="I41" s="0">
        <f>Input_Jalan!I41*Asumsi!$B$7*Asumsi!$B$8*Input_Jalan!L41</f>
      </c>
      <c r="J41" s="0">
        <f>IF(ISNUMBER(SEARCH("SEMENISASI",Input_Jalan!H41)),Input_Jalan!K41*Asumsi!$B$50,0)</f>
      </c>
      <c r="K41" s="0">
        <f>IF(ISNUMBER(SEARCH("SEMENISASI",Input_Jalan!H41)),Input_Jalan!K41*Asumsi!$B$51,0)</f>
      </c>
      <c r="L41" s="0">
        <f>IF(ISNUMBER(SEARCH("SEMENISASI",Input_Jalan!H41)),Input_Jalan!K41*Asumsi!$B$52,0)</f>
      </c>
      <c r="M41" s="0" t="inlineStr">
        <is>
          <t>MAT-EXC / MAT-BSC / MAT-WTR / MAT-SEM</t>
        </is>
      </c>
      <c r="N41" s="0">
        <f>Analisa_Jam_Alat!O41</f>
      </c>
    </row>
    <row r="42">
      <c r="A42" s="0">
        <f>Input_Jalan!A42</f>
      </c>
      <c r="B42" s="0">
        <f>Input_Jalan!B42</f>
      </c>
      <c r="C42" s="0">
        <f>Input_Jalan!F42</f>
      </c>
      <c r="D42" s="0">
        <f>Input_Jalan!I42</f>
      </c>
      <c r="E42" s="0">
        <f>Input_Jalan!K42</f>
      </c>
      <c r="F42" s="0">
        <f>Input_Jalan!K42*Asumsi!$B$5*(Input_Jalan!M42+Input_Jalan!N42+Input_Jalan!O42)</f>
      </c>
      <c r="G42" s="0">
        <f>Input_Jalan!K42*Asumsi!$B$6*Input_Jalan!O42</f>
      </c>
      <c r="H42" s="0">
        <f>=Input_Jalan!K42*Asumsi!$B$5*(Input_Jalan!M42+Input_Jalan!N42+Input_Jalan!O42)*Asumsi!$B$9</f>
      </c>
      <c r="I42" s="0">
        <f>Input_Jalan!I42*Asumsi!$B$7*Asumsi!$B$8*Input_Jalan!L42</f>
      </c>
      <c r="J42" s="0">
        <f>IF(ISNUMBER(SEARCH("SEMENISASI",Input_Jalan!H42)),Input_Jalan!K42*Asumsi!$B$50,0)</f>
      </c>
      <c r="K42" s="0">
        <f>IF(ISNUMBER(SEARCH("SEMENISASI",Input_Jalan!H42)),Input_Jalan!K42*Asumsi!$B$51,0)</f>
      </c>
      <c r="L42" s="0">
        <f>IF(ISNUMBER(SEARCH("SEMENISASI",Input_Jalan!H42)),Input_Jalan!K42*Asumsi!$B$52,0)</f>
      </c>
      <c r="M42" s="0" t="inlineStr">
        <is>
          <t>MAT-EXC / MAT-BSC / MAT-WTR / MAT-SEM</t>
        </is>
      </c>
      <c r="N42" s="0">
        <f>Analisa_Jam_Alat!O42</f>
      </c>
    </row>
    <row r="43">
      <c r="A43" s="0">
        <f>Input_Jalan!A43</f>
      </c>
      <c r="B43" s="0">
        <f>Input_Jalan!B43</f>
      </c>
      <c r="C43" s="0">
        <f>Input_Jalan!F43</f>
      </c>
      <c r="D43" s="0">
        <f>Input_Jalan!I43</f>
      </c>
      <c r="E43" s="0">
        <f>Input_Jalan!K43</f>
      </c>
      <c r="F43" s="0">
        <f>Input_Jalan!K43*Asumsi!$B$5*(Input_Jalan!M43+Input_Jalan!N43+Input_Jalan!O43)</f>
      </c>
      <c r="G43" s="0">
        <f>Input_Jalan!K43*Asumsi!$B$6*Input_Jalan!O43</f>
      </c>
      <c r="H43" s="0">
        <f>=Input_Jalan!K43*Asumsi!$B$5*(Input_Jalan!M43+Input_Jalan!N43+Input_Jalan!O43)*Asumsi!$B$9</f>
      </c>
      <c r="I43" s="0">
        <f>Input_Jalan!I43*Asumsi!$B$7*Asumsi!$B$8*Input_Jalan!L43</f>
      </c>
      <c r="J43" s="0">
        <f>IF(ISNUMBER(SEARCH("SEMENISASI",Input_Jalan!H43)),Input_Jalan!K43*Asumsi!$B$50,0)</f>
      </c>
      <c r="K43" s="0">
        <f>IF(ISNUMBER(SEARCH("SEMENISASI",Input_Jalan!H43)),Input_Jalan!K43*Asumsi!$B$51,0)</f>
      </c>
      <c r="L43" s="0">
        <f>IF(ISNUMBER(SEARCH("SEMENISASI",Input_Jalan!H43)),Input_Jalan!K43*Asumsi!$B$52,0)</f>
      </c>
      <c r="M43" s="0" t="inlineStr">
        <is>
          <t>MAT-EXC / MAT-BSC / MAT-WTR / MAT-SEM</t>
        </is>
      </c>
      <c r="N43" s="0">
        <f>Analisa_Jam_Alat!O43</f>
      </c>
    </row>
    <row r="44">
      <c r="A44" s="0">
        <f>Input_Jalan!A44</f>
      </c>
      <c r="B44" s="0">
        <f>Input_Jalan!B44</f>
      </c>
      <c r="C44" s="0">
        <f>Input_Jalan!F44</f>
      </c>
      <c r="D44" s="0">
        <f>Input_Jalan!I44</f>
      </c>
      <c r="E44" s="0">
        <f>Input_Jalan!K44</f>
      </c>
      <c r="F44" s="0">
        <f>Input_Jalan!K44*Asumsi!$B$5*(Input_Jalan!M44+Input_Jalan!N44+Input_Jalan!O44)</f>
      </c>
      <c r="G44" s="0">
        <f>Input_Jalan!K44*Asumsi!$B$6*Input_Jalan!O44</f>
      </c>
      <c r="H44" s="0">
        <f>=Input_Jalan!K44*Asumsi!$B$5*(Input_Jalan!M44+Input_Jalan!N44+Input_Jalan!O44)*Asumsi!$B$9</f>
      </c>
      <c r="I44" s="0">
        <f>Input_Jalan!I44*Asumsi!$B$7*Asumsi!$B$8*Input_Jalan!L44</f>
      </c>
      <c r="J44" s="0">
        <f>IF(ISNUMBER(SEARCH("SEMENISASI",Input_Jalan!H44)),Input_Jalan!K44*Asumsi!$B$50,0)</f>
      </c>
      <c r="K44" s="0">
        <f>IF(ISNUMBER(SEARCH("SEMENISASI",Input_Jalan!H44)),Input_Jalan!K44*Asumsi!$B$51,0)</f>
      </c>
      <c r="L44" s="0">
        <f>IF(ISNUMBER(SEARCH("SEMENISASI",Input_Jalan!H44)),Input_Jalan!K44*Asumsi!$B$52,0)</f>
      </c>
      <c r="M44" s="0" t="inlineStr">
        <is>
          <t>MAT-EXC / MAT-BSC / MAT-WTR / MAT-SEM</t>
        </is>
      </c>
      <c r="N44" s="0">
        <f>Analisa_Jam_Alat!O44</f>
      </c>
    </row>
    <row r="45">
      <c r="A45" s="0">
        <f>Input_Jalan!A45</f>
      </c>
      <c r="B45" s="0">
        <f>Input_Jalan!B45</f>
      </c>
      <c r="C45" s="0">
        <f>Input_Jalan!F45</f>
      </c>
      <c r="D45" s="0">
        <f>Input_Jalan!I45</f>
      </c>
      <c r="E45" s="0">
        <f>Input_Jalan!K45</f>
      </c>
      <c r="F45" s="0">
        <f>Input_Jalan!K45*Asumsi!$B$5*(Input_Jalan!M45+Input_Jalan!N45+Input_Jalan!O45)</f>
      </c>
      <c r="G45" s="0">
        <f>Input_Jalan!K45*Asumsi!$B$6*Input_Jalan!O45</f>
      </c>
      <c r="H45" s="0">
        <f>=Input_Jalan!K45*Asumsi!$B$5*(Input_Jalan!M45+Input_Jalan!N45+Input_Jalan!O45)*Asumsi!$B$9</f>
      </c>
      <c r="I45" s="0">
        <f>Input_Jalan!I45*Asumsi!$B$7*Asumsi!$B$8*Input_Jalan!L45</f>
      </c>
      <c r="J45" s="0">
        <f>IF(ISNUMBER(SEARCH("SEMENISASI",Input_Jalan!H45)),Input_Jalan!K45*Asumsi!$B$50,0)</f>
      </c>
      <c r="K45" s="0">
        <f>IF(ISNUMBER(SEARCH("SEMENISASI",Input_Jalan!H45)),Input_Jalan!K45*Asumsi!$B$51,0)</f>
      </c>
      <c r="L45" s="0">
        <f>IF(ISNUMBER(SEARCH("SEMENISASI",Input_Jalan!H45)),Input_Jalan!K45*Asumsi!$B$52,0)</f>
      </c>
      <c r="M45" s="0" t="inlineStr">
        <is>
          <t>MAT-EXC / MAT-BSC / MAT-WTR / MAT-SEM</t>
        </is>
      </c>
      <c r="N45" s="0">
        <f>Analisa_Jam_Alat!O45</f>
      </c>
    </row>
    <row r="46">
      <c r="A46" s="0">
        <f>Input_Jalan!A46</f>
      </c>
      <c r="B46" s="0">
        <f>Input_Jalan!B46</f>
      </c>
      <c r="C46" s="0">
        <f>Input_Jalan!F46</f>
      </c>
      <c r="D46" s="0">
        <f>Input_Jalan!I46</f>
      </c>
      <c r="E46" s="0">
        <f>Input_Jalan!K46</f>
      </c>
      <c r="F46" s="0">
        <f>Input_Jalan!K46*Asumsi!$B$5*(Input_Jalan!M46+Input_Jalan!N46+Input_Jalan!O46)</f>
      </c>
      <c r="G46" s="0">
        <f>Input_Jalan!K46*Asumsi!$B$6*Input_Jalan!O46</f>
      </c>
      <c r="H46" s="0">
        <f>=Input_Jalan!K46*Asumsi!$B$5*(Input_Jalan!M46+Input_Jalan!N46+Input_Jalan!O46)*Asumsi!$B$9</f>
      </c>
      <c r="I46" s="0">
        <f>Input_Jalan!I46*Asumsi!$B$7*Asumsi!$B$8*Input_Jalan!L46</f>
      </c>
      <c r="J46" s="0">
        <f>IF(ISNUMBER(SEARCH("SEMENISASI",Input_Jalan!H46)),Input_Jalan!K46*Asumsi!$B$50,0)</f>
      </c>
      <c r="K46" s="0">
        <f>IF(ISNUMBER(SEARCH("SEMENISASI",Input_Jalan!H46)),Input_Jalan!K46*Asumsi!$B$51,0)</f>
      </c>
      <c r="L46" s="0">
        <f>IF(ISNUMBER(SEARCH("SEMENISASI",Input_Jalan!H46)),Input_Jalan!K46*Asumsi!$B$52,0)</f>
      </c>
      <c r="M46" s="0" t="inlineStr">
        <is>
          <t>MAT-EXC / MAT-BSC / MAT-WTR / MAT-SEM</t>
        </is>
      </c>
      <c r="N46" s="0">
        <f>Analisa_Jam_Alat!O46</f>
      </c>
    </row>
    <row r="47">
      <c r="A47" s="0">
        <f>Input_Jalan!A47</f>
      </c>
      <c r="B47" s="0">
        <f>Input_Jalan!B47</f>
      </c>
      <c r="C47" s="0">
        <f>Input_Jalan!F47</f>
      </c>
      <c r="D47" s="0">
        <f>Input_Jalan!I47</f>
      </c>
      <c r="E47" s="0">
        <f>Input_Jalan!K47</f>
      </c>
      <c r="F47" s="0">
        <f>Input_Jalan!K47*Asumsi!$B$5*(Input_Jalan!M47+Input_Jalan!N47+Input_Jalan!O47)</f>
      </c>
      <c r="G47" s="0">
        <f>Input_Jalan!K47*Asumsi!$B$6*Input_Jalan!O47</f>
      </c>
      <c r="H47" s="0">
        <f>=Input_Jalan!K47*Asumsi!$B$5*(Input_Jalan!M47+Input_Jalan!N47+Input_Jalan!O47)*Asumsi!$B$9</f>
      </c>
      <c r="I47" s="0">
        <f>Input_Jalan!I47*Asumsi!$B$7*Asumsi!$B$8*Input_Jalan!L47</f>
      </c>
      <c r="J47" s="0">
        <f>IF(ISNUMBER(SEARCH("SEMENISASI",Input_Jalan!H47)),Input_Jalan!K47*Asumsi!$B$50,0)</f>
      </c>
      <c r="K47" s="0">
        <f>IF(ISNUMBER(SEARCH("SEMENISASI",Input_Jalan!H47)),Input_Jalan!K47*Asumsi!$B$51,0)</f>
      </c>
      <c r="L47" s="0">
        <f>IF(ISNUMBER(SEARCH("SEMENISASI",Input_Jalan!H47)),Input_Jalan!K47*Asumsi!$B$52,0)</f>
      </c>
      <c r="M47" s="0" t="inlineStr">
        <is>
          <t>MAT-EXC / MAT-BSC / MAT-WTR / MAT-SEM</t>
        </is>
      </c>
      <c r="N47" s="0">
        <f>Analisa_Jam_Alat!O47</f>
      </c>
    </row>
    <row r="48">
      <c r="A48" s="0">
        <f>Input_Jalan!A48</f>
      </c>
      <c r="B48" s="0">
        <f>Input_Jalan!B48</f>
      </c>
      <c r="C48" s="0">
        <f>Input_Jalan!F48</f>
      </c>
      <c r="D48" s="0">
        <f>Input_Jalan!I48</f>
      </c>
      <c r="E48" s="0">
        <f>Input_Jalan!K48</f>
      </c>
      <c r="F48" s="0">
        <f>Input_Jalan!K48*Asumsi!$B$5*(Input_Jalan!M48+Input_Jalan!N48+Input_Jalan!O48)</f>
      </c>
      <c r="G48" s="0">
        <f>Input_Jalan!K48*Asumsi!$B$6*Input_Jalan!O48</f>
      </c>
      <c r="H48" s="0">
        <f>=Input_Jalan!K48*Asumsi!$B$5*(Input_Jalan!M48+Input_Jalan!N48+Input_Jalan!O48)*Asumsi!$B$9</f>
      </c>
      <c r="I48" s="0">
        <f>Input_Jalan!I48*Asumsi!$B$7*Asumsi!$B$8*Input_Jalan!L48</f>
      </c>
      <c r="J48" s="0">
        <f>IF(ISNUMBER(SEARCH("SEMENISASI",Input_Jalan!H48)),Input_Jalan!K48*Asumsi!$B$50,0)</f>
      </c>
      <c r="K48" s="0">
        <f>IF(ISNUMBER(SEARCH("SEMENISASI",Input_Jalan!H48)),Input_Jalan!K48*Asumsi!$B$51,0)</f>
      </c>
      <c r="L48" s="0">
        <f>IF(ISNUMBER(SEARCH("SEMENISASI",Input_Jalan!H48)),Input_Jalan!K48*Asumsi!$B$52,0)</f>
      </c>
      <c r="M48" s="0" t="inlineStr">
        <is>
          <t>MAT-EXC / MAT-BSC / MAT-WTR / MAT-SEM</t>
        </is>
      </c>
      <c r="N48" s="0">
        <f>Analisa_Jam_Alat!O48</f>
      </c>
    </row>
    <row r="49">
      <c r="A49" s="0">
        <f>Input_Jalan!A49</f>
      </c>
      <c r="B49" s="0">
        <f>Input_Jalan!B49</f>
      </c>
      <c r="C49" s="0">
        <f>Input_Jalan!F49</f>
      </c>
      <c r="D49" s="0">
        <f>Input_Jalan!I49</f>
      </c>
      <c r="E49" s="0">
        <f>Input_Jalan!K49</f>
      </c>
      <c r="F49" s="0">
        <f>Input_Jalan!K49*Asumsi!$B$5*(Input_Jalan!M49+Input_Jalan!N49+Input_Jalan!O49)</f>
      </c>
      <c r="G49" s="0">
        <f>Input_Jalan!K49*Asumsi!$B$6*Input_Jalan!O49</f>
      </c>
      <c r="H49" s="0">
        <f>=Input_Jalan!K49*Asumsi!$B$5*(Input_Jalan!M49+Input_Jalan!N49+Input_Jalan!O49)*Asumsi!$B$9</f>
      </c>
      <c r="I49" s="0">
        <f>Input_Jalan!I49*Asumsi!$B$7*Asumsi!$B$8*Input_Jalan!L49</f>
      </c>
      <c r="J49" s="0">
        <f>IF(ISNUMBER(SEARCH("SEMENISASI",Input_Jalan!H49)),Input_Jalan!K49*Asumsi!$B$50,0)</f>
      </c>
      <c r="K49" s="0">
        <f>IF(ISNUMBER(SEARCH("SEMENISASI",Input_Jalan!H49)),Input_Jalan!K49*Asumsi!$B$51,0)</f>
      </c>
      <c r="L49" s="0">
        <f>IF(ISNUMBER(SEARCH("SEMENISASI",Input_Jalan!H49)),Input_Jalan!K49*Asumsi!$B$52,0)</f>
      </c>
      <c r="M49" s="0" t="inlineStr">
        <is>
          <t>MAT-EXC / MAT-BSC / MAT-WTR / MAT-SEM</t>
        </is>
      </c>
      <c r="N49" s="0">
        <f>Analisa_Jam_Alat!O49</f>
      </c>
    </row>
    <row r="50">
      <c r="A50" s="0">
        <f>Input_Jalan!A50</f>
      </c>
      <c r="B50" s="0">
        <f>Input_Jalan!B50</f>
      </c>
      <c r="C50" s="0">
        <f>Input_Jalan!F50</f>
      </c>
      <c r="D50" s="0">
        <f>Input_Jalan!I50</f>
      </c>
      <c r="E50" s="0">
        <f>Input_Jalan!K50</f>
      </c>
      <c r="F50" s="0">
        <f>Input_Jalan!K50*Asumsi!$B$5*(Input_Jalan!M50+Input_Jalan!N50+Input_Jalan!O50)</f>
      </c>
      <c r="G50" s="0">
        <f>Input_Jalan!K50*Asumsi!$B$6*Input_Jalan!O50</f>
      </c>
      <c r="H50" s="0">
        <f>=Input_Jalan!K50*Asumsi!$B$5*(Input_Jalan!M50+Input_Jalan!N50+Input_Jalan!O50)*Asumsi!$B$9</f>
      </c>
      <c r="I50" s="0">
        <f>Input_Jalan!I50*Asumsi!$B$7*Asumsi!$B$8*Input_Jalan!L50</f>
      </c>
      <c r="J50" s="0">
        <f>IF(ISNUMBER(SEARCH("SEMENISASI",Input_Jalan!H50)),Input_Jalan!K50*Asumsi!$B$50,0)</f>
      </c>
      <c r="K50" s="0">
        <f>IF(ISNUMBER(SEARCH("SEMENISASI",Input_Jalan!H50)),Input_Jalan!K50*Asumsi!$B$51,0)</f>
      </c>
      <c r="L50" s="0">
        <f>IF(ISNUMBER(SEARCH("SEMENISASI",Input_Jalan!H50)),Input_Jalan!K50*Asumsi!$B$52,0)</f>
      </c>
      <c r="M50" s="0" t="inlineStr">
        <is>
          <t>MAT-EXC / MAT-BSC / MAT-WTR / MAT-SEM</t>
        </is>
      </c>
      <c r="N50" s="0">
        <f>Analisa_Jam_Alat!O50</f>
      </c>
    </row>
    <row r="51">
      <c r="A51" s="0">
        <f>Input_Jalan!A51</f>
      </c>
      <c r="B51" s="0">
        <f>Input_Jalan!B51</f>
      </c>
      <c r="C51" s="0">
        <f>Input_Jalan!F51</f>
      </c>
      <c r="D51" s="0">
        <f>Input_Jalan!I51</f>
      </c>
      <c r="E51" s="0">
        <f>Input_Jalan!K51</f>
      </c>
      <c r="F51" s="0">
        <f>Input_Jalan!K51*Asumsi!$B$5*(Input_Jalan!M51+Input_Jalan!N51+Input_Jalan!O51)</f>
      </c>
      <c r="G51" s="0">
        <f>Input_Jalan!K51*Asumsi!$B$6*Input_Jalan!O51</f>
      </c>
      <c r="H51" s="0">
        <f>=Input_Jalan!K51*Asumsi!$B$5*(Input_Jalan!M51+Input_Jalan!N51+Input_Jalan!O51)*Asumsi!$B$9</f>
      </c>
      <c r="I51" s="0">
        <f>Input_Jalan!I51*Asumsi!$B$7*Asumsi!$B$8*Input_Jalan!L51</f>
      </c>
      <c r="J51" s="0">
        <f>IF(ISNUMBER(SEARCH("SEMENISASI",Input_Jalan!H51)),Input_Jalan!K51*Asumsi!$B$50,0)</f>
      </c>
      <c r="K51" s="0">
        <f>IF(ISNUMBER(SEARCH("SEMENISASI",Input_Jalan!H51)),Input_Jalan!K51*Asumsi!$B$51,0)</f>
      </c>
      <c r="L51" s="0">
        <f>IF(ISNUMBER(SEARCH("SEMENISASI",Input_Jalan!H51)),Input_Jalan!K51*Asumsi!$B$52,0)</f>
      </c>
      <c r="M51" s="0" t="inlineStr">
        <is>
          <t>MAT-EXC / MAT-BSC / MAT-WTR / MAT-SEM</t>
        </is>
      </c>
      <c r="N51" s="0">
        <f>Analisa_Jam_Alat!O51</f>
      </c>
    </row>
    <row r="52">
      <c r="A52" s="0">
        <f>Input_Jalan!A52</f>
      </c>
      <c r="B52" s="0">
        <f>Input_Jalan!B52</f>
      </c>
      <c r="C52" s="0">
        <f>Input_Jalan!F52</f>
      </c>
      <c r="D52" s="0">
        <f>Input_Jalan!I52</f>
      </c>
      <c r="E52" s="0">
        <f>Input_Jalan!K52</f>
      </c>
      <c r="F52" s="0">
        <f>Input_Jalan!K52*Asumsi!$B$5*(Input_Jalan!M52+Input_Jalan!N52+Input_Jalan!O52)</f>
      </c>
      <c r="G52" s="0">
        <f>Input_Jalan!K52*Asumsi!$B$6*Input_Jalan!O52</f>
      </c>
      <c r="H52" s="0">
        <f>=Input_Jalan!K52*Asumsi!$B$5*(Input_Jalan!M52+Input_Jalan!N52+Input_Jalan!O52)*Asumsi!$B$9</f>
      </c>
      <c r="I52" s="0">
        <f>Input_Jalan!I52*Asumsi!$B$7*Asumsi!$B$8*Input_Jalan!L52</f>
      </c>
      <c r="J52" s="0">
        <f>IF(ISNUMBER(SEARCH("SEMENISASI",Input_Jalan!H52)),Input_Jalan!K52*Asumsi!$B$50,0)</f>
      </c>
      <c r="K52" s="0">
        <f>IF(ISNUMBER(SEARCH("SEMENISASI",Input_Jalan!H52)),Input_Jalan!K52*Asumsi!$B$51,0)</f>
      </c>
      <c r="L52" s="0">
        <f>IF(ISNUMBER(SEARCH("SEMENISASI",Input_Jalan!H52)),Input_Jalan!K52*Asumsi!$B$52,0)</f>
      </c>
      <c r="M52" s="0" t="inlineStr">
        <is>
          <t>MAT-EXC / MAT-BSC / MAT-WTR / MAT-SEM</t>
        </is>
      </c>
      <c r="N52" s="0">
        <f>Analisa_Jam_Alat!O52</f>
      </c>
    </row>
    <row r="53">
      <c r="A53" s="0">
        <f>Input_Jalan!A53</f>
      </c>
      <c r="B53" s="0">
        <f>Input_Jalan!B53</f>
      </c>
      <c r="C53" s="0">
        <f>Input_Jalan!F53</f>
      </c>
      <c r="D53" s="0">
        <f>Input_Jalan!I53</f>
      </c>
      <c r="E53" s="0">
        <f>Input_Jalan!K53</f>
      </c>
      <c r="F53" s="0">
        <f>Input_Jalan!K53*Asumsi!$B$5*(Input_Jalan!M53+Input_Jalan!N53+Input_Jalan!O53)</f>
      </c>
      <c r="G53" s="0">
        <f>Input_Jalan!K53*Asumsi!$B$6*Input_Jalan!O53</f>
      </c>
      <c r="H53" s="0">
        <f>=Input_Jalan!K53*Asumsi!$B$5*(Input_Jalan!M53+Input_Jalan!N53+Input_Jalan!O53)*Asumsi!$B$9</f>
      </c>
      <c r="I53" s="0">
        <f>Input_Jalan!I53*Asumsi!$B$7*Asumsi!$B$8*Input_Jalan!L53</f>
      </c>
      <c r="J53" s="0">
        <f>IF(ISNUMBER(SEARCH("SEMENISASI",Input_Jalan!H53)),Input_Jalan!K53*Asumsi!$B$50,0)</f>
      </c>
      <c r="K53" s="0">
        <f>IF(ISNUMBER(SEARCH("SEMENISASI",Input_Jalan!H53)),Input_Jalan!K53*Asumsi!$B$51,0)</f>
      </c>
      <c r="L53" s="0">
        <f>IF(ISNUMBER(SEARCH("SEMENISASI",Input_Jalan!H53)),Input_Jalan!K53*Asumsi!$B$52,0)</f>
      </c>
      <c r="M53" s="0" t="inlineStr">
        <is>
          <t>MAT-EXC / MAT-BSC / MAT-WTR / MAT-SEM</t>
        </is>
      </c>
      <c r="N53" s="0">
        <f>Analisa_Jam_Alat!O53</f>
      </c>
    </row>
    <row r="54">
      <c r="A54" s="0">
        <f>Input_Jalan!A54</f>
      </c>
      <c r="B54" s="0">
        <f>Input_Jalan!B54</f>
      </c>
      <c r="C54" s="0">
        <f>Input_Jalan!F54</f>
      </c>
      <c r="D54" s="0">
        <f>Input_Jalan!I54</f>
      </c>
      <c r="E54" s="0">
        <f>Input_Jalan!K54</f>
      </c>
      <c r="F54" s="0">
        <f>Input_Jalan!K54*Asumsi!$B$5*(Input_Jalan!M54+Input_Jalan!N54+Input_Jalan!O54)</f>
      </c>
      <c r="G54" s="0">
        <f>Input_Jalan!K54*Asumsi!$B$6*Input_Jalan!O54</f>
      </c>
      <c r="H54" s="0">
        <f>=Input_Jalan!K54*Asumsi!$B$5*(Input_Jalan!M54+Input_Jalan!N54+Input_Jalan!O54)*Asumsi!$B$9</f>
      </c>
      <c r="I54" s="0">
        <f>Input_Jalan!I54*Asumsi!$B$7*Asumsi!$B$8*Input_Jalan!L54</f>
      </c>
      <c r="J54" s="0">
        <f>IF(ISNUMBER(SEARCH("SEMENISASI",Input_Jalan!H54)),Input_Jalan!K54*Asumsi!$B$50,0)</f>
      </c>
      <c r="K54" s="0">
        <f>IF(ISNUMBER(SEARCH("SEMENISASI",Input_Jalan!H54)),Input_Jalan!K54*Asumsi!$B$51,0)</f>
      </c>
      <c r="L54" s="0">
        <f>IF(ISNUMBER(SEARCH("SEMENISASI",Input_Jalan!H54)),Input_Jalan!K54*Asumsi!$B$52,0)</f>
      </c>
      <c r="M54" s="0" t="inlineStr">
        <is>
          <t>MAT-EXC / MAT-BSC / MAT-WTR / MAT-SEM</t>
        </is>
      </c>
      <c r="N54" s="0">
        <f>Analisa_Jam_Alat!O54</f>
      </c>
    </row>
    <row r="55">
      <c r="A55" s="0">
        <f>Input_Jalan!A55</f>
      </c>
      <c r="B55" s="0">
        <f>Input_Jalan!B55</f>
      </c>
      <c r="C55" s="0">
        <f>Input_Jalan!F55</f>
      </c>
      <c r="D55" s="0">
        <f>Input_Jalan!I55</f>
      </c>
      <c r="E55" s="0">
        <f>Input_Jalan!K55</f>
      </c>
      <c r="F55" s="0">
        <f>Input_Jalan!K55*Asumsi!$B$5*(Input_Jalan!M55+Input_Jalan!N55+Input_Jalan!O55)</f>
      </c>
      <c r="G55" s="0">
        <f>Input_Jalan!K55*Asumsi!$B$6*Input_Jalan!O55</f>
      </c>
      <c r="H55" s="0">
        <f>=Input_Jalan!K55*Asumsi!$B$5*(Input_Jalan!M55+Input_Jalan!N55+Input_Jalan!O55)*Asumsi!$B$9</f>
      </c>
      <c r="I55" s="0">
        <f>Input_Jalan!I55*Asumsi!$B$7*Asumsi!$B$8*Input_Jalan!L55</f>
      </c>
      <c r="J55" s="0">
        <f>IF(ISNUMBER(SEARCH("SEMENISASI",Input_Jalan!H55)),Input_Jalan!K55*Asumsi!$B$50,0)</f>
      </c>
      <c r="K55" s="0">
        <f>IF(ISNUMBER(SEARCH("SEMENISASI",Input_Jalan!H55)),Input_Jalan!K55*Asumsi!$B$51,0)</f>
      </c>
      <c r="L55" s="0">
        <f>IF(ISNUMBER(SEARCH("SEMENISASI",Input_Jalan!H55)),Input_Jalan!K55*Asumsi!$B$52,0)</f>
      </c>
      <c r="M55" s="0" t="inlineStr">
        <is>
          <t>MAT-EXC / MAT-BSC / MAT-WTR / MAT-SEM</t>
        </is>
      </c>
      <c r="N55" s="0">
        <f>Analisa_Jam_Alat!O55</f>
      </c>
    </row>
    <row r="56">
      <c r="A56" s="0">
        <f>Input_Jalan!A56</f>
      </c>
      <c r="B56" s="0">
        <f>Input_Jalan!B56</f>
      </c>
      <c r="C56" s="0">
        <f>Input_Jalan!F56</f>
      </c>
      <c r="D56" s="0">
        <f>Input_Jalan!I56</f>
      </c>
      <c r="E56" s="0">
        <f>Input_Jalan!K56</f>
      </c>
      <c r="F56" s="0">
        <f>Input_Jalan!K56*Asumsi!$B$5*(Input_Jalan!M56+Input_Jalan!N56+Input_Jalan!O56)</f>
      </c>
      <c r="G56" s="0">
        <f>Input_Jalan!K56*Asumsi!$B$6*Input_Jalan!O56</f>
      </c>
      <c r="H56" s="0">
        <f>=Input_Jalan!K56*Asumsi!$B$5*(Input_Jalan!M56+Input_Jalan!N56+Input_Jalan!O56)*Asumsi!$B$9</f>
      </c>
      <c r="I56" s="0">
        <f>Input_Jalan!I56*Asumsi!$B$7*Asumsi!$B$8*Input_Jalan!L56</f>
      </c>
      <c r="J56" s="0">
        <f>IF(ISNUMBER(SEARCH("SEMENISASI",Input_Jalan!H56)),Input_Jalan!K56*Asumsi!$B$50,0)</f>
      </c>
      <c r="K56" s="0">
        <f>IF(ISNUMBER(SEARCH("SEMENISASI",Input_Jalan!H56)),Input_Jalan!K56*Asumsi!$B$51,0)</f>
      </c>
      <c r="L56" s="0">
        <f>IF(ISNUMBER(SEARCH("SEMENISASI",Input_Jalan!H56)),Input_Jalan!K56*Asumsi!$B$52,0)</f>
      </c>
      <c r="M56" s="0" t="inlineStr">
        <is>
          <t>MAT-EXC / MAT-BSC / MAT-WTR / MAT-SEM</t>
        </is>
      </c>
      <c r="N56" s="0">
        <f>Analisa_Jam_Alat!O56</f>
      </c>
    </row>
    <row r="57">
      <c r="A57" s="0">
        <f>Input_Jalan!A57</f>
      </c>
      <c r="B57" s="0">
        <f>Input_Jalan!B57</f>
      </c>
      <c r="C57" s="0">
        <f>Input_Jalan!F57</f>
      </c>
      <c r="D57" s="0">
        <f>Input_Jalan!I57</f>
      </c>
      <c r="E57" s="0">
        <f>Input_Jalan!K57</f>
      </c>
      <c r="F57" s="0">
        <f>Input_Jalan!K57*Asumsi!$B$5*(Input_Jalan!M57+Input_Jalan!N57+Input_Jalan!O57)</f>
      </c>
      <c r="G57" s="0">
        <f>Input_Jalan!K57*Asumsi!$B$6*Input_Jalan!O57</f>
      </c>
      <c r="H57" s="0">
        <f>=Input_Jalan!K57*Asumsi!$B$5*(Input_Jalan!M57+Input_Jalan!N57+Input_Jalan!O57)*Asumsi!$B$9</f>
      </c>
      <c r="I57" s="0">
        <f>Input_Jalan!I57*Asumsi!$B$7*Asumsi!$B$8*Input_Jalan!L57</f>
      </c>
      <c r="J57" s="0">
        <f>IF(ISNUMBER(SEARCH("SEMENISASI",Input_Jalan!H57)),Input_Jalan!K57*Asumsi!$B$50,0)</f>
      </c>
      <c r="K57" s="0">
        <f>IF(ISNUMBER(SEARCH("SEMENISASI",Input_Jalan!H57)),Input_Jalan!K57*Asumsi!$B$51,0)</f>
      </c>
      <c r="L57" s="0">
        <f>IF(ISNUMBER(SEARCH("SEMENISASI",Input_Jalan!H57)),Input_Jalan!K57*Asumsi!$B$52,0)</f>
      </c>
      <c r="M57" s="0" t="inlineStr">
        <is>
          <t>MAT-EXC / MAT-BSC / MAT-WTR / MAT-SEM</t>
        </is>
      </c>
      <c r="N57" s="0">
        <f>Analisa_Jam_Alat!O57</f>
      </c>
    </row>
    <row r="58">
      <c r="A58" s="0">
        <f>Input_Jalan!A58</f>
      </c>
      <c r="B58" s="0">
        <f>Input_Jalan!B58</f>
      </c>
      <c r="C58" s="0">
        <f>Input_Jalan!F58</f>
      </c>
      <c r="D58" s="0">
        <f>Input_Jalan!I58</f>
      </c>
      <c r="E58" s="0">
        <f>Input_Jalan!K58</f>
      </c>
      <c r="F58" s="0">
        <f>Input_Jalan!K58*Asumsi!$B$5*(Input_Jalan!M58+Input_Jalan!N58+Input_Jalan!O58)</f>
      </c>
      <c r="G58" s="0">
        <f>Input_Jalan!K58*Asumsi!$B$6*Input_Jalan!O58</f>
      </c>
      <c r="H58" s="0">
        <f>=Input_Jalan!K58*Asumsi!$B$5*(Input_Jalan!M58+Input_Jalan!N58+Input_Jalan!O58)*Asumsi!$B$9</f>
      </c>
      <c r="I58" s="0">
        <f>Input_Jalan!I58*Asumsi!$B$7*Asumsi!$B$8*Input_Jalan!L58</f>
      </c>
      <c r="J58" s="0">
        <f>IF(ISNUMBER(SEARCH("SEMENISASI",Input_Jalan!H58)),Input_Jalan!K58*Asumsi!$B$50,0)</f>
      </c>
      <c r="K58" s="0">
        <f>IF(ISNUMBER(SEARCH("SEMENISASI",Input_Jalan!H58)),Input_Jalan!K58*Asumsi!$B$51,0)</f>
      </c>
      <c r="L58" s="0">
        <f>IF(ISNUMBER(SEARCH("SEMENISASI",Input_Jalan!H58)),Input_Jalan!K58*Asumsi!$B$52,0)</f>
      </c>
      <c r="M58" s="0" t="inlineStr">
        <is>
          <t>MAT-EXC / MAT-BSC / MAT-WTR / MAT-SEM</t>
        </is>
      </c>
      <c r="N58" s="0">
        <f>Analisa_Jam_Alat!O58</f>
      </c>
    </row>
    <row r="59">
      <c r="A59" s="0">
        <f>Input_Jalan!A59</f>
      </c>
      <c r="B59" s="0">
        <f>Input_Jalan!B59</f>
      </c>
      <c r="C59" s="0">
        <f>Input_Jalan!F59</f>
      </c>
      <c r="D59" s="0">
        <f>Input_Jalan!I59</f>
      </c>
      <c r="E59" s="0">
        <f>Input_Jalan!K59</f>
      </c>
      <c r="F59" s="0">
        <f>Input_Jalan!K59*Asumsi!$B$5*(Input_Jalan!M59+Input_Jalan!N59+Input_Jalan!O59)</f>
      </c>
      <c r="G59" s="0">
        <f>Input_Jalan!K59*Asumsi!$B$6*Input_Jalan!O59</f>
      </c>
      <c r="H59" s="0">
        <f>=Input_Jalan!K59*Asumsi!$B$5*(Input_Jalan!M59+Input_Jalan!N59+Input_Jalan!O59)*Asumsi!$B$9</f>
      </c>
      <c r="I59" s="0">
        <f>Input_Jalan!I59*Asumsi!$B$7*Asumsi!$B$8*Input_Jalan!L59</f>
      </c>
      <c r="J59" s="0">
        <f>IF(ISNUMBER(SEARCH("SEMENISASI",Input_Jalan!H59)),Input_Jalan!K59*Asumsi!$B$50,0)</f>
      </c>
      <c r="K59" s="0">
        <f>IF(ISNUMBER(SEARCH("SEMENISASI",Input_Jalan!H59)),Input_Jalan!K59*Asumsi!$B$51,0)</f>
      </c>
      <c r="L59" s="0">
        <f>IF(ISNUMBER(SEARCH("SEMENISASI",Input_Jalan!H59)),Input_Jalan!K59*Asumsi!$B$52,0)</f>
      </c>
      <c r="M59" s="0" t="inlineStr">
        <is>
          <t>MAT-EXC / MAT-BSC / MAT-WTR / MAT-SEM</t>
        </is>
      </c>
      <c r="N59" s="0">
        <f>Analisa_Jam_Alat!O59</f>
      </c>
    </row>
    <row r="60">
      <c r="A60" s="0">
        <f>Input_Jalan!A60</f>
      </c>
      <c r="B60" s="0">
        <f>Input_Jalan!B60</f>
      </c>
      <c r="C60" s="0">
        <f>Input_Jalan!F60</f>
      </c>
      <c r="D60" s="0">
        <f>Input_Jalan!I60</f>
      </c>
      <c r="E60" s="0">
        <f>Input_Jalan!K60</f>
      </c>
      <c r="F60" s="0">
        <f>Input_Jalan!K60*Asumsi!$B$5*(Input_Jalan!M60+Input_Jalan!N60+Input_Jalan!O60)</f>
      </c>
      <c r="G60" s="0">
        <f>Input_Jalan!K60*Asumsi!$B$6*Input_Jalan!O60</f>
      </c>
      <c r="H60" s="0">
        <f>=Input_Jalan!K60*Asumsi!$B$5*(Input_Jalan!M60+Input_Jalan!N60+Input_Jalan!O60)*Asumsi!$B$9</f>
      </c>
      <c r="I60" s="0">
        <f>Input_Jalan!I60*Asumsi!$B$7*Asumsi!$B$8*Input_Jalan!L60</f>
      </c>
      <c r="J60" s="0">
        <f>IF(ISNUMBER(SEARCH("SEMENISASI",Input_Jalan!H60)),Input_Jalan!K60*Asumsi!$B$50,0)</f>
      </c>
      <c r="K60" s="0">
        <f>IF(ISNUMBER(SEARCH("SEMENISASI",Input_Jalan!H60)),Input_Jalan!K60*Asumsi!$B$51,0)</f>
      </c>
      <c r="L60" s="0">
        <f>IF(ISNUMBER(SEARCH("SEMENISASI",Input_Jalan!H60)),Input_Jalan!K60*Asumsi!$B$52,0)</f>
      </c>
      <c r="M60" s="0" t="inlineStr">
        <is>
          <t>MAT-EXC / MAT-BSC / MAT-WTR / MAT-SEM</t>
        </is>
      </c>
      <c r="N60" s="0">
        <f>Analisa_Jam_Alat!O60</f>
      </c>
    </row>
    <row r="61">
      <c r="A61" s="0">
        <f>Input_Jalan!A61</f>
      </c>
      <c r="B61" s="0">
        <f>Input_Jalan!B61</f>
      </c>
      <c r="C61" s="0">
        <f>Input_Jalan!F61</f>
      </c>
      <c r="D61" s="0">
        <f>Input_Jalan!I61</f>
      </c>
      <c r="E61" s="0">
        <f>Input_Jalan!K61</f>
      </c>
      <c r="F61" s="0">
        <f>Input_Jalan!K61*Asumsi!$B$5*(Input_Jalan!M61+Input_Jalan!N61+Input_Jalan!O61)</f>
      </c>
      <c r="G61" s="0">
        <f>Input_Jalan!K61*Asumsi!$B$6*Input_Jalan!O61</f>
      </c>
      <c r="H61" s="0">
        <f>=Input_Jalan!K61*Asumsi!$B$5*(Input_Jalan!M61+Input_Jalan!N61+Input_Jalan!O61)*Asumsi!$B$9</f>
      </c>
      <c r="I61" s="0">
        <f>Input_Jalan!I61*Asumsi!$B$7*Asumsi!$B$8*Input_Jalan!L61</f>
      </c>
      <c r="J61" s="0">
        <f>IF(ISNUMBER(SEARCH("SEMENISASI",Input_Jalan!H61)),Input_Jalan!K61*Asumsi!$B$50,0)</f>
      </c>
      <c r="K61" s="0">
        <f>IF(ISNUMBER(SEARCH("SEMENISASI",Input_Jalan!H61)),Input_Jalan!K61*Asumsi!$B$51,0)</f>
      </c>
      <c r="L61" s="0">
        <f>IF(ISNUMBER(SEARCH("SEMENISASI",Input_Jalan!H61)),Input_Jalan!K61*Asumsi!$B$52,0)</f>
      </c>
      <c r="M61" s="0" t="inlineStr">
        <is>
          <t>MAT-EXC / MAT-BSC / MAT-WTR / MAT-SEM</t>
        </is>
      </c>
      <c r="N61" s="0">
        <f>Analisa_Jam_Alat!O61</f>
      </c>
    </row>
    <row r="62">
      <c r="A62" s="0">
        <f>Input_Jalan!A62</f>
      </c>
      <c r="B62" s="0">
        <f>Input_Jalan!B62</f>
      </c>
      <c r="C62" s="0">
        <f>Input_Jalan!F62</f>
      </c>
      <c r="D62" s="0">
        <f>Input_Jalan!I62</f>
      </c>
      <c r="E62" s="0">
        <f>Input_Jalan!K62</f>
      </c>
      <c r="F62" s="0">
        <f>Input_Jalan!K62*Asumsi!$B$5*(Input_Jalan!M62+Input_Jalan!N62+Input_Jalan!O62)</f>
      </c>
      <c r="G62" s="0">
        <f>Input_Jalan!K62*Asumsi!$B$6*Input_Jalan!O62</f>
      </c>
      <c r="H62" s="0">
        <f>=Input_Jalan!K62*Asumsi!$B$5*(Input_Jalan!M62+Input_Jalan!N62+Input_Jalan!O62)*Asumsi!$B$9</f>
      </c>
      <c r="I62" s="0">
        <f>Input_Jalan!I62*Asumsi!$B$7*Asumsi!$B$8*Input_Jalan!L62</f>
      </c>
      <c r="J62" s="0">
        <f>IF(ISNUMBER(SEARCH("SEMENISASI",Input_Jalan!H62)),Input_Jalan!K62*Asumsi!$B$50,0)</f>
      </c>
      <c r="K62" s="0">
        <f>IF(ISNUMBER(SEARCH("SEMENISASI",Input_Jalan!H62)),Input_Jalan!K62*Asumsi!$B$51,0)</f>
      </c>
      <c r="L62" s="0">
        <f>IF(ISNUMBER(SEARCH("SEMENISASI",Input_Jalan!H62)),Input_Jalan!K62*Asumsi!$B$52,0)</f>
      </c>
      <c r="M62" s="0" t="inlineStr">
        <is>
          <t>MAT-EXC / MAT-BSC / MAT-WTR / MAT-SEM</t>
        </is>
      </c>
      <c r="N62" s="0">
        <f>Analisa_Jam_Alat!O62</f>
      </c>
    </row>
    <row r="63">
      <c r="A63" s="0">
        <f>Input_Jalan!A63</f>
      </c>
      <c r="B63" s="0">
        <f>Input_Jalan!B63</f>
      </c>
      <c r="C63" s="0">
        <f>Input_Jalan!F63</f>
      </c>
      <c r="D63" s="0">
        <f>Input_Jalan!I63</f>
      </c>
      <c r="E63" s="0">
        <f>Input_Jalan!K63</f>
      </c>
      <c r="F63" s="0">
        <f>Input_Jalan!K63*Asumsi!$B$5*(Input_Jalan!M63+Input_Jalan!N63+Input_Jalan!O63)</f>
      </c>
      <c r="G63" s="0">
        <f>Input_Jalan!K63*Asumsi!$B$6*Input_Jalan!O63</f>
      </c>
      <c r="H63" s="0">
        <f>=Input_Jalan!K63*Asumsi!$B$5*(Input_Jalan!M63+Input_Jalan!N63+Input_Jalan!O63)*Asumsi!$B$9</f>
      </c>
      <c r="I63" s="0">
        <f>Input_Jalan!I63*Asumsi!$B$7*Asumsi!$B$8*Input_Jalan!L63</f>
      </c>
      <c r="J63" s="0">
        <f>IF(ISNUMBER(SEARCH("SEMENISASI",Input_Jalan!H63)),Input_Jalan!K63*Asumsi!$B$50,0)</f>
      </c>
      <c r="K63" s="0">
        <f>IF(ISNUMBER(SEARCH("SEMENISASI",Input_Jalan!H63)),Input_Jalan!K63*Asumsi!$B$51,0)</f>
      </c>
      <c r="L63" s="0">
        <f>IF(ISNUMBER(SEARCH("SEMENISASI",Input_Jalan!H63)),Input_Jalan!K63*Asumsi!$B$52,0)</f>
      </c>
      <c r="M63" s="0" t="inlineStr">
        <is>
          <t>MAT-EXC / MAT-BSC / MAT-WTR / MAT-SEM</t>
        </is>
      </c>
      <c r="N63" s="0">
        <f>Analisa_Jam_Alat!O63</f>
      </c>
    </row>
    <row r="64">
      <c r="A64" s="0">
        <f>Input_Jalan!A64</f>
      </c>
      <c r="B64" s="0">
        <f>Input_Jalan!B64</f>
      </c>
      <c r="C64" s="0">
        <f>Input_Jalan!F64</f>
      </c>
      <c r="D64" s="0">
        <f>Input_Jalan!I64</f>
      </c>
      <c r="E64" s="0">
        <f>Input_Jalan!K64</f>
      </c>
      <c r="F64" s="0">
        <f>Input_Jalan!K64*Asumsi!$B$5*(Input_Jalan!M64+Input_Jalan!N64+Input_Jalan!O64)</f>
      </c>
      <c r="G64" s="0">
        <f>Input_Jalan!K64*Asumsi!$B$6*Input_Jalan!O64</f>
      </c>
      <c r="H64" s="0">
        <f>=Input_Jalan!K64*Asumsi!$B$5*(Input_Jalan!M64+Input_Jalan!N64+Input_Jalan!O64)*Asumsi!$B$9</f>
      </c>
      <c r="I64" s="0">
        <f>Input_Jalan!I64*Asumsi!$B$7*Asumsi!$B$8*Input_Jalan!L64</f>
      </c>
      <c r="J64" s="0">
        <f>IF(ISNUMBER(SEARCH("SEMENISASI",Input_Jalan!H64)),Input_Jalan!K64*Asumsi!$B$50,0)</f>
      </c>
      <c r="K64" s="0">
        <f>IF(ISNUMBER(SEARCH("SEMENISASI",Input_Jalan!H64)),Input_Jalan!K64*Asumsi!$B$51,0)</f>
      </c>
      <c r="L64" s="0">
        <f>IF(ISNUMBER(SEARCH("SEMENISASI",Input_Jalan!H64)),Input_Jalan!K64*Asumsi!$B$52,0)</f>
      </c>
      <c r="M64" s="0" t="inlineStr">
        <is>
          <t>MAT-EXC / MAT-BSC / MAT-WTR / MAT-SEM</t>
        </is>
      </c>
      <c r="N64" s="0">
        <f>Analisa_Jam_Alat!O64</f>
      </c>
    </row>
    <row r="65">
      <c r="A65" s="0">
        <f>Input_Jalan!A65</f>
      </c>
      <c r="B65" s="0">
        <f>Input_Jalan!B65</f>
      </c>
      <c r="C65" s="0">
        <f>Input_Jalan!F65</f>
      </c>
      <c r="D65" s="0">
        <f>Input_Jalan!I65</f>
      </c>
      <c r="E65" s="0">
        <f>Input_Jalan!K65</f>
      </c>
      <c r="F65" s="0">
        <f>Input_Jalan!K65*Asumsi!$B$5*(Input_Jalan!M65+Input_Jalan!N65+Input_Jalan!O65)</f>
      </c>
      <c r="G65" s="0">
        <f>Input_Jalan!K65*Asumsi!$B$6*Input_Jalan!O65</f>
      </c>
      <c r="H65" s="0">
        <f>=Input_Jalan!K65*Asumsi!$B$5*(Input_Jalan!M65+Input_Jalan!N65+Input_Jalan!O65)*Asumsi!$B$9</f>
      </c>
      <c r="I65" s="0">
        <f>Input_Jalan!I65*Asumsi!$B$7*Asumsi!$B$8*Input_Jalan!L65</f>
      </c>
      <c r="J65" s="0">
        <f>IF(ISNUMBER(SEARCH("SEMENISASI",Input_Jalan!H65)),Input_Jalan!K65*Asumsi!$B$50,0)</f>
      </c>
      <c r="K65" s="0">
        <f>IF(ISNUMBER(SEARCH("SEMENISASI",Input_Jalan!H65)),Input_Jalan!K65*Asumsi!$B$51,0)</f>
      </c>
      <c r="L65" s="0">
        <f>IF(ISNUMBER(SEARCH("SEMENISASI",Input_Jalan!H65)),Input_Jalan!K65*Asumsi!$B$52,0)</f>
      </c>
      <c r="M65" s="0" t="inlineStr">
        <is>
          <t>MAT-EXC / MAT-BSC / MAT-WTR / MAT-SEM</t>
        </is>
      </c>
      <c r="N65" s="0">
        <f>Analisa_Jam_Alat!O65</f>
      </c>
    </row>
    <row r="66">
      <c r="A66" s="0">
        <f>Input_Jalan!A66</f>
      </c>
      <c r="B66" s="0">
        <f>Input_Jalan!B66</f>
      </c>
      <c r="C66" s="0">
        <f>Input_Jalan!F66</f>
      </c>
      <c r="D66" s="0">
        <f>Input_Jalan!I66</f>
      </c>
      <c r="E66" s="0">
        <f>Input_Jalan!K66</f>
      </c>
      <c r="F66" s="0">
        <f>Input_Jalan!K66*Asumsi!$B$5*(Input_Jalan!M66+Input_Jalan!N66+Input_Jalan!O66)</f>
      </c>
      <c r="G66" s="0">
        <f>Input_Jalan!K66*Asumsi!$B$6*Input_Jalan!O66</f>
      </c>
      <c r="H66" s="0">
        <f>=Input_Jalan!K66*Asumsi!$B$5*(Input_Jalan!M66+Input_Jalan!N66+Input_Jalan!O66)*Asumsi!$B$9</f>
      </c>
      <c r="I66" s="0">
        <f>Input_Jalan!I66*Asumsi!$B$7*Asumsi!$B$8*Input_Jalan!L66</f>
      </c>
      <c r="J66" s="0">
        <f>IF(ISNUMBER(SEARCH("SEMENISASI",Input_Jalan!H66)),Input_Jalan!K66*Asumsi!$B$50,0)</f>
      </c>
      <c r="K66" s="0">
        <f>IF(ISNUMBER(SEARCH("SEMENISASI",Input_Jalan!H66)),Input_Jalan!K66*Asumsi!$B$51,0)</f>
      </c>
      <c r="L66" s="0">
        <f>IF(ISNUMBER(SEARCH("SEMENISASI",Input_Jalan!H66)),Input_Jalan!K66*Asumsi!$B$52,0)</f>
      </c>
      <c r="M66" s="0" t="inlineStr">
        <is>
          <t>MAT-EXC / MAT-BSC / MAT-WTR / MAT-SEM</t>
        </is>
      </c>
      <c r="N66" s="0">
        <f>Analisa_Jam_Alat!O66</f>
      </c>
    </row>
    <row r="67">
      <c r="A67" s="0">
        <f>Input_Jalan!A67</f>
      </c>
      <c r="B67" s="0">
        <f>Input_Jalan!B67</f>
      </c>
      <c r="C67" s="0">
        <f>Input_Jalan!F67</f>
      </c>
      <c r="D67" s="0">
        <f>Input_Jalan!I67</f>
      </c>
      <c r="E67" s="0">
        <f>Input_Jalan!K67</f>
      </c>
      <c r="F67" s="0">
        <f>Input_Jalan!K67*Asumsi!$B$5*(Input_Jalan!M67+Input_Jalan!N67+Input_Jalan!O67)</f>
      </c>
      <c r="G67" s="0">
        <f>Input_Jalan!K67*Asumsi!$B$6*Input_Jalan!O67</f>
      </c>
      <c r="H67" s="0">
        <f>=Input_Jalan!K67*Asumsi!$B$5*(Input_Jalan!M67+Input_Jalan!N67+Input_Jalan!O67)*Asumsi!$B$9</f>
      </c>
      <c r="I67" s="0">
        <f>Input_Jalan!I67*Asumsi!$B$7*Asumsi!$B$8*Input_Jalan!L67</f>
      </c>
      <c r="J67" s="0">
        <f>IF(ISNUMBER(SEARCH("SEMENISASI",Input_Jalan!H67)),Input_Jalan!K67*Asumsi!$B$50,0)</f>
      </c>
      <c r="K67" s="0">
        <f>IF(ISNUMBER(SEARCH("SEMENISASI",Input_Jalan!H67)),Input_Jalan!K67*Asumsi!$B$51,0)</f>
      </c>
      <c r="L67" s="0">
        <f>IF(ISNUMBER(SEARCH("SEMENISASI",Input_Jalan!H67)),Input_Jalan!K67*Asumsi!$B$52,0)</f>
      </c>
      <c r="M67" s="0" t="inlineStr">
        <is>
          <t>MAT-EXC / MAT-BSC / MAT-WTR / MAT-SEM</t>
        </is>
      </c>
      <c r="N67" s="0">
        <f>Analisa_Jam_Alat!O67</f>
      </c>
    </row>
    <row r="68">
      <c r="A68" s="0">
        <f>Input_Jalan!A68</f>
      </c>
      <c r="B68" s="0">
        <f>Input_Jalan!B68</f>
      </c>
      <c r="C68" s="0">
        <f>Input_Jalan!F68</f>
      </c>
      <c r="D68" s="0">
        <f>Input_Jalan!I68</f>
      </c>
      <c r="E68" s="0">
        <f>Input_Jalan!K68</f>
      </c>
      <c r="F68" s="0">
        <f>Input_Jalan!K68*Asumsi!$B$5*(Input_Jalan!M68+Input_Jalan!N68+Input_Jalan!O68)</f>
      </c>
      <c r="G68" s="0">
        <f>Input_Jalan!K68*Asumsi!$B$6*Input_Jalan!O68</f>
      </c>
      <c r="H68" s="0">
        <f>=Input_Jalan!K68*Asumsi!$B$5*(Input_Jalan!M68+Input_Jalan!N68+Input_Jalan!O68)*Asumsi!$B$9</f>
      </c>
      <c r="I68" s="0">
        <f>Input_Jalan!I68*Asumsi!$B$7*Asumsi!$B$8*Input_Jalan!L68</f>
      </c>
      <c r="J68" s="0">
        <f>IF(ISNUMBER(SEARCH("SEMENISASI",Input_Jalan!H68)),Input_Jalan!K68*Asumsi!$B$50,0)</f>
      </c>
      <c r="K68" s="0">
        <f>IF(ISNUMBER(SEARCH("SEMENISASI",Input_Jalan!H68)),Input_Jalan!K68*Asumsi!$B$51,0)</f>
      </c>
      <c r="L68" s="0">
        <f>IF(ISNUMBER(SEARCH("SEMENISASI",Input_Jalan!H68)),Input_Jalan!K68*Asumsi!$B$52,0)</f>
      </c>
      <c r="M68" s="0" t="inlineStr">
        <is>
          <t>MAT-EXC / MAT-BSC / MAT-WTR / MAT-SEM</t>
        </is>
      </c>
      <c r="N68" s="0">
        <f>Analisa_Jam_Alat!O68</f>
      </c>
    </row>
    <row r="69">
      <c r="A69" s="0">
        <f>Input_Jalan!A69</f>
      </c>
      <c r="B69" s="0">
        <f>Input_Jalan!B69</f>
      </c>
      <c r="C69" s="0">
        <f>Input_Jalan!F69</f>
      </c>
      <c r="D69" s="0">
        <f>Input_Jalan!I69</f>
      </c>
      <c r="E69" s="0">
        <f>Input_Jalan!K69</f>
      </c>
      <c r="F69" s="0">
        <f>Input_Jalan!K69*Asumsi!$B$5*(Input_Jalan!M69+Input_Jalan!N69+Input_Jalan!O69)</f>
      </c>
      <c r="G69" s="0">
        <f>Input_Jalan!K69*Asumsi!$B$6*Input_Jalan!O69</f>
      </c>
      <c r="H69" s="0">
        <f>=Input_Jalan!K69*Asumsi!$B$5*(Input_Jalan!M69+Input_Jalan!N69+Input_Jalan!O69)*Asumsi!$B$9</f>
      </c>
      <c r="I69" s="0">
        <f>Input_Jalan!I69*Asumsi!$B$7*Asumsi!$B$8*Input_Jalan!L69</f>
      </c>
      <c r="J69" s="0">
        <f>IF(ISNUMBER(SEARCH("SEMENISASI",Input_Jalan!H69)),Input_Jalan!K69*Asumsi!$B$50,0)</f>
      </c>
      <c r="K69" s="0">
        <f>IF(ISNUMBER(SEARCH("SEMENISASI",Input_Jalan!H69)),Input_Jalan!K69*Asumsi!$B$51,0)</f>
      </c>
      <c r="L69" s="0">
        <f>IF(ISNUMBER(SEARCH("SEMENISASI",Input_Jalan!H69)),Input_Jalan!K69*Asumsi!$B$52,0)</f>
      </c>
      <c r="M69" s="0" t="inlineStr">
        <is>
          <t>MAT-EXC / MAT-BSC / MAT-WTR / MAT-SEM</t>
        </is>
      </c>
      <c r="N69" s="0">
        <f>Analisa_Jam_Alat!O69</f>
      </c>
    </row>
    <row r="70">
      <c r="A70" s="0">
        <f>Input_Jalan!A70</f>
      </c>
      <c r="B70" s="0">
        <f>Input_Jalan!B70</f>
      </c>
      <c r="C70" s="0">
        <f>Input_Jalan!F70</f>
      </c>
      <c r="D70" s="0">
        <f>Input_Jalan!I70</f>
      </c>
      <c r="E70" s="0">
        <f>Input_Jalan!K70</f>
      </c>
      <c r="F70" s="0">
        <f>Input_Jalan!K70*Asumsi!$B$5*(Input_Jalan!M70+Input_Jalan!N70+Input_Jalan!O70)</f>
      </c>
      <c r="G70" s="0">
        <f>Input_Jalan!K70*Asumsi!$B$6*Input_Jalan!O70</f>
      </c>
      <c r="H70" s="0">
        <f>=Input_Jalan!K70*Asumsi!$B$5*(Input_Jalan!M70+Input_Jalan!N70+Input_Jalan!O70)*Asumsi!$B$9</f>
      </c>
      <c r="I70" s="0">
        <f>Input_Jalan!I70*Asumsi!$B$7*Asumsi!$B$8*Input_Jalan!L70</f>
      </c>
      <c r="J70" s="0">
        <f>IF(ISNUMBER(SEARCH("SEMENISASI",Input_Jalan!H70)),Input_Jalan!K70*Asumsi!$B$50,0)</f>
      </c>
      <c r="K70" s="0">
        <f>IF(ISNUMBER(SEARCH("SEMENISASI",Input_Jalan!H70)),Input_Jalan!K70*Asumsi!$B$51,0)</f>
      </c>
      <c r="L70" s="0">
        <f>IF(ISNUMBER(SEARCH("SEMENISASI",Input_Jalan!H70)),Input_Jalan!K70*Asumsi!$B$52,0)</f>
      </c>
      <c r="M70" s="0" t="inlineStr">
        <is>
          <t>MAT-EXC / MAT-BSC / MAT-WTR / MAT-SEM</t>
        </is>
      </c>
      <c r="N70" s="0">
        <f>Analisa_Jam_Alat!O70</f>
      </c>
    </row>
    <row r="71">
      <c r="A71" s="0">
        <f>Input_Jalan!A71</f>
      </c>
      <c r="B71" s="0">
        <f>Input_Jalan!B71</f>
      </c>
      <c r="C71" s="0">
        <f>Input_Jalan!F71</f>
      </c>
      <c r="D71" s="0">
        <f>Input_Jalan!I71</f>
      </c>
      <c r="E71" s="0">
        <f>Input_Jalan!K71</f>
      </c>
      <c r="F71" s="0">
        <f>Input_Jalan!K71*Asumsi!$B$5*(Input_Jalan!M71+Input_Jalan!N71+Input_Jalan!O71)</f>
      </c>
      <c r="G71" s="0">
        <f>Input_Jalan!K71*Asumsi!$B$6*Input_Jalan!O71</f>
      </c>
      <c r="H71" s="0">
        <f>=Input_Jalan!K71*Asumsi!$B$5*(Input_Jalan!M71+Input_Jalan!N71+Input_Jalan!O71)*Asumsi!$B$9</f>
      </c>
      <c r="I71" s="0">
        <f>Input_Jalan!I71*Asumsi!$B$7*Asumsi!$B$8*Input_Jalan!L71</f>
      </c>
      <c r="J71" s="0">
        <f>IF(ISNUMBER(SEARCH("SEMENISASI",Input_Jalan!H71)),Input_Jalan!K71*Asumsi!$B$50,0)</f>
      </c>
      <c r="K71" s="0">
        <f>IF(ISNUMBER(SEARCH("SEMENISASI",Input_Jalan!H71)),Input_Jalan!K71*Asumsi!$B$51,0)</f>
      </c>
      <c r="L71" s="0">
        <f>IF(ISNUMBER(SEARCH("SEMENISASI",Input_Jalan!H71)),Input_Jalan!K71*Asumsi!$B$52,0)</f>
      </c>
      <c r="M71" s="0" t="inlineStr">
        <is>
          <t>MAT-EXC / MAT-BSC / MAT-WTR / MAT-SEM</t>
        </is>
      </c>
      <c r="N71" s="0">
        <f>Analisa_Jam_Alat!O71</f>
      </c>
    </row>
    <row r="72">
      <c r="A72" s="0">
        <f>Input_Jalan!A72</f>
      </c>
      <c r="B72" s="0">
        <f>Input_Jalan!B72</f>
      </c>
      <c r="C72" s="0">
        <f>Input_Jalan!F72</f>
      </c>
      <c r="D72" s="0">
        <f>Input_Jalan!I72</f>
      </c>
      <c r="E72" s="0">
        <f>Input_Jalan!K72</f>
      </c>
      <c r="F72" s="0">
        <f>Input_Jalan!K72*Asumsi!$B$5*(Input_Jalan!M72+Input_Jalan!N72+Input_Jalan!O72)</f>
      </c>
      <c r="G72" s="0">
        <f>Input_Jalan!K72*Asumsi!$B$6*Input_Jalan!O72</f>
      </c>
      <c r="H72" s="0">
        <f>=Input_Jalan!K72*Asumsi!$B$5*(Input_Jalan!M72+Input_Jalan!N72+Input_Jalan!O72)*Asumsi!$B$9</f>
      </c>
      <c r="I72" s="0">
        <f>Input_Jalan!I72*Asumsi!$B$7*Asumsi!$B$8*Input_Jalan!L72</f>
      </c>
      <c r="J72" s="0">
        <f>IF(ISNUMBER(SEARCH("SEMENISASI",Input_Jalan!H72)),Input_Jalan!K72*Asumsi!$B$50,0)</f>
      </c>
      <c r="K72" s="0">
        <f>IF(ISNUMBER(SEARCH("SEMENISASI",Input_Jalan!H72)),Input_Jalan!K72*Asumsi!$B$51,0)</f>
      </c>
      <c r="L72" s="0">
        <f>IF(ISNUMBER(SEARCH("SEMENISASI",Input_Jalan!H72)),Input_Jalan!K72*Asumsi!$B$52,0)</f>
      </c>
      <c r="M72" s="0" t="inlineStr">
        <is>
          <t>MAT-EXC / MAT-BSC / MAT-WTR / MAT-SEM</t>
        </is>
      </c>
      <c r="N72" s="0">
        <f>Analisa_Jam_Alat!O72</f>
      </c>
    </row>
    <row r="73">
      <c r="A73" s="0">
        <f>Input_Jalan!A73</f>
      </c>
      <c r="B73" s="0">
        <f>Input_Jalan!B73</f>
      </c>
      <c r="C73" s="0">
        <f>Input_Jalan!F73</f>
      </c>
      <c r="D73" s="0">
        <f>Input_Jalan!I73</f>
      </c>
      <c r="E73" s="0">
        <f>Input_Jalan!K73</f>
      </c>
      <c r="F73" s="0">
        <f>Input_Jalan!K73*Asumsi!$B$5*(Input_Jalan!M73+Input_Jalan!N73+Input_Jalan!O73)</f>
      </c>
      <c r="G73" s="0">
        <f>Input_Jalan!K73*Asumsi!$B$6*Input_Jalan!O73</f>
      </c>
      <c r="H73" s="0">
        <f>=Input_Jalan!K73*Asumsi!$B$5*(Input_Jalan!M73+Input_Jalan!N73+Input_Jalan!O73)*Asumsi!$B$9</f>
      </c>
      <c r="I73" s="0">
        <f>Input_Jalan!I73*Asumsi!$B$7*Asumsi!$B$8*Input_Jalan!L73</f>
      </c>
      <c r="J73" s="0">
        <f>IF(ISNUMBER(SEARCH("SEMENISASI",Input_Jalan!H73)),Input_Jalan!K73*Asumsi!$B$50,0)</f>
      </c>
      <c r="K73" s="0">
        <f>IF(ISNUMBER(SEARCH("SEMENISASI",Input_Jalan!H73)),Input_Jalan!K73*Asumsi!$B$51,0)</f>
      </c>
      <c r="L73" s="0">
        <f>IF(ISNUMBER(SEARCH("SEMENISASI",Input_Jalan!H73)),Input_Jalan!K73*Asumsi!$B$52,0)</f>
      </c>
      <c r="M73" s="0" t="inlineStr">
        <is>
          <t>MAT-EXC / MAT-BSC / MAT-WTR / MAT-SEM</t>
        </is>
      </c>
      <c r="N73" s="0">
        <f>Analisa_Jam_Alat!O73</f>
      </c>
    </row>
    <row r="74">
      <c r="A74" s="0">
        <f>Input_Jalan!A74</f>
      </c>
      <c r="B74" s="0">
        <f>Input_Jalan!B74</f>
      </c>
      <c r="C74" s="0">
        <f>Input_Jalan!F74</f>
      </c>
      <c r="D74" s="0">
        <f>Input_Jalan!I74</f>
      </c>
      <c r="E74" s="0">
        <f>Input_Jalan!K74</f>
      </c>
      <c r="F74" s="0">
        <f>Input_Jalan!K74*Asumsi!$B$5*(Input_Jalan!M74+Input_Jalan!N74+Input_Jalan!O74)</f>
      </c>
      <c r="G74" s="0">
        <f>Input_Jalan!K74*Asumsi!$B$6*Input_Jalan!O74</f>
      </c>
      <c r="H74" s="0">
        <f>=Input_Jalan!K74*Asumsi!$B$5*(Input_Jalan!M74+Input_Jalan!N74+Input_Jalan!O74)*Asumsi!$B$9</f>
      </c>
      <c r="I74" s="0">
        <f>Input_Jalan!I74*Asumsi!$B$7*Asumsi!$B$8*Input_Jalan!L74</f>
      </c>
      <c r="J74" s="0">
        <f>IF(ISNUMBER(SEARCH("SEMENISASI",Input_Jalan!H74)),Input_Jalan!K74*Asumsi!$B$50,0)</f>
      </c>
      <c r="K74" s="0">
        <f>IF(ISNUMBER(SEARCH("SEMENISASI",Input_Jalan!H74)),Input_Jalan!K74*Asumsi!$B$51,0)</f>
      </c>
      <c r="L74" s="0">
        <f>IF(ISNUMBER(SEARCH("SEMENISASI",Input_Jalan!H74)),Input_Jalan!K74*Asumsi!$B$52,0)</f>
      </c>
      <c r="M74" s="0" t="inlineStr">
        <is>
          <t>MAT-EXC / MAT-BSC / MAT-WTR / MAT-SEM</t>
        </is>
      </c>
      <c r="N74" s="0">
        <f>Analisa_Jam_Alat!O74</f>
      </c>
    </row>
  </sheetData>
</worksheet>
</file>

<file path=xl/worksheets/sheet9.xml><?xml version="1.0" encoding="utf-8"?>
<worksheet xmlns="http://schemas.openxmlformats.org/spreadsheetml/2006/main">
  <dimension ref="A1:D22"/>
  <sheetViews>
    <sheetView workbookViewId="0"/>
  </sheetViews>
  <sheetFormatPr defaultRowHeight="15"/>
  <cols>
    <col min="1" max="1" width="30" customWidth="1"/>
    <col min="2" max="2" width="18" customWidth="1"/>
    <col min="3" max="3" width="18" customWidth="1"/>
    <col min="4" max="4" width="20" customWidth="1"/>
  </cols>
  <sheetData>
    <row r="1">
      <c r="A1" s="1" t="inlineStr">
        <is>
          <t>REKAPITULASI</t>
        </is>
      </c>
    </row>
    <row r="2">
      <c r="A2" s="0" t="inlineStr">
        <is>
          <t>Indikator</t>
        </is>
      </c>
      <c r="B2" s="0" t="inlineStr">
        <is>
          <t>Nilai</t>
        </is>
      </c>
      <c r="C2" s="0" t="inlineStr">
        <is>
          <t>Satuan</t>
        </is>
      </c>
    </row>
    <row r="3">
      <c r="A3" s="0" t="inlineStr">
        <is>
          <t>Jumlah ruas</t>
        </is>
      </c>
      <c r="B3" s="0">
        <f>COUNTA(Input_Jalan!A2:A74)</f>
      </c>
      <c r="C3" s="0" t="inlineStr">
        <is>
          <t>ruas</t>
        </is>
      </c>
    </row>
    <row r="4">
      <c r="A4" s="0" t="inlineStr">
        <is>
          <t>Total panjang</t>
        </is>
      </c>
      <c r="B4" s="0">
        <f>SUM(Input_Jalan!I2:I74)</f>
      </c>
      <c r="C4" s="0" t="inlineStr">
        <is>
          <t>m</t>
        </is>
      </c>
    </row>
    <row r="5">
      <c r="A5" s="0" t="inlineStr">
        <is>
          <t>Total jam alat</t>
        </is>
      </c>
      <c r="B5" s="0">
        <f>SUM(Analisa_Jam_Alat!M2:M74)</f>
      </c>
      <c r="C5" s="0" t="inlineStr">
        <is>
          <t>jam</t>
        </is>
      </c>
    </row>
    <row r="6">
      <c r="A6" s="0" t="inlineStr">
        <is>
          <t>Total biaya alat</t>
        </is>
      </c>
      <c r="B6" s="0">
        <f>SUM(Analisa_Jam_Alat!N2:N74)</f>
      </c>
      <c r="C6" s="0" t="inlineStr">
        <is>
          <t>Rp</t>
        </is>
      </c>
    </row>
    <row r="7"/>
    <row r="8">
      <c r="A8" s="0" t="inlineStr">
        <is>
          <t>Alat</t>
        </is>
      </c>
      <c r="B8" s="0" t="inlineStr">
        <is>
          <t>Kode</t>
        </is>
      </c>
      <c r="C8" s="0" t="inlineStr">
        <is>
          <t>Jam</t>
        </is>
      </c>
      <c r="D8" s="0" t="inlineStr">
        <is>
          <t>Biaya Rp</t>
        </is>
      </c>
    </row>
    <row r="9">
      <c r="A9" s="0" t="inlineStr">
        <is>
          <t>Motor Grader</t>
        </is>
      </c>
      <c r="B9" s="0" t="inlineStr">
        <is>
          <t>AL-GRD</t>
        </is>
      </c>
      <c r="C9" s="0">
        <f>SUM(Analisa_Jam_Alat!H2:H74)</f>
      </c>
      <c r="D9" s="0">
        <f>SUMPRODUCT(Analisa_Jam_Alat!H2:H74,Asumsi!$S$31)</f>
      </c>
    </row>
    <row r="10">
      <c r="A10" s="0" t="inlineStr">
        <is>
          <t>Bulldozer</t>
        </is>
      </c>
      <c r="B10" s="0" t="inlineStr">
        <is>
          <t>AL-DZR</t>
        </is>
      </c>
      <c r="C10" s="0">
        <f>SUM(Analisa_Jam_Alat!I2:I74)</f>
      </c>
      <c r="D10" s="0">
        <f>SUMPRODUCT(Analisa_Jam_Alat!I2:I74,Asumsi!$S$32)</f>
      </c>
    </row>
    <row r="11">
      <c r="A11" s="0" t="inlineStr">
        <is>
          <t>Roller</t>
        </is>
      </c>
      <c r="B11" s="0" t="inlineStr">
        <is>
          <t>AL-RLR</t>
        </is>
      </c>
      <c r="C11" s="0">
        <f>SUM(Analisa_Jam_Alat!J2:J74)</f>
      </c>
      <c r="D11" s="0">
        <f>SUMPRODUCT(Analisa_Jam_Alat!J2:J74,Asumsi!$S$33)</f>
      </c>
    </row>
    <row r="12">
      <c r="A12" s="0" t="inlineStr">
        <is>
          <t>Excavator</t>
        </is>
      </c>
      <c r="B12" s="0" t="inlineStr">
        <is>
          <t>AL-EXC</t>
        </is>
      </c>
      <c r="C12" s="0">
        <f>SUM(Analisa_Jam_Alat!K2:K74)</f>
      </c>
      <c r="D12" s="0">
        <f>SUMPRODUCT(Analisa_Jam_Alat!K2:K74,Asumsi!$S$34)</f>
      </c>
    </row>
    <row r="13">
      <c r="A13" s="0" t="inlineStr">
        <is>
          <t>Water Tanker</t>
        </is>
      </c>
      <c r="B13" s="0" t="inlineStr">
        <is>
          <t>AL-WTR</t>
        </is>
      </c>
      <c r="C13" s="0">
        <f>SUM(Analisa_Jam_Alat!L2:L74)</f>
      </c>
      <c r="D13" s="0">
        <f>SUMPRODUCT(Analisa_Jam_Alat!L2:L74,Asumsi!$S$35)</f>
      </c>
    </row>
    <row r="14"/>
    <row r="15">
      <c r="A15" s="0" t="inlineStr">
        <is>
          <t>Material</t>
        </is>
      </c>
      <c r="B15" s="0" t="inlineStr">
        <is>
          <t>Volume</t>
        </is>
      </c>
      <c r="C15" s="0" t="inlineStr">
        <is>
          <t>Satuan</t>
        </is>
      </c>
    </row>
    <row r="16">
      <c r="A16" s="0" t="inlineStr">
        <is>
          <t>Existing diolah</t>
        </is>
      </c>
      <c r="B16" s="0">
        <f>SUM(Kebutuhan_Material!F2:F74)</f>
      </c>
      <c r="C16" s="0" t="inlineStr">
        <is>
          <t>m3</t>
        </is>
      </c>
    </row>
    <row r="17">
      <c r="A17" s="0" t="inlineStr">
        <is>
          <t>Basecourse baru</t>
        </is>
      </c>
      <c r="B17" s="0">
        <f>SUM(Kebutuhan_Material!G2:G74)</f>
      </c>
      <c r="C17" s="0" t="inlineStr">
        <is>
          <t>m3</t>
        </is>
      </c>
    </row>
    <row r="18">
      <c r="A18" s="0" t="inlineStr">
        <is>
          <t>Air pemadatan</t>
        </is>
      </c>
      <c r="B18" s="0">
        <f>SUM(Kebutuhan_Material!H2:H74)</f>
      </c>
      <c r="C18" s="0" t="inlineStr">
        <is>
          <t>m3</t>
        </is>
      </c>
    </row>
    <row r="19">
      <c r="A19" s="0" t="inlineStr">
        <is>
          <t>Drainase/galian</t>
        </is>
      </c>
      <c r="B19" s="0">
        <f>SUM(Kebutuhan_Material!I2:I74)</f>
      </c>
      <c r="C19" s="0" t="inlineStr">
        <is>
          <t>m3</t>
        </is>
      </c>
    </row>
    <row r="20">
      <c r="A20" s="0" t="inlineStr">
        <is>
          <t>Semen semenisasi</t>
        </is>
      </c>
      <c r="B20" s="0">
        <f>SUM(Kebutuhan_Material!J2:J74)</f>
      </c>
      <c r="C20" s="0" t="inlineStr">
        <is>
          <t>zak</t>
        </is>
      </c>
    </row>
    <row r="21">
      <c r="A21" s="0" t="inlineStr">
        <is>
          <t>Pasir semenisasi</t>
        </is>
      </c>
      <c r="B21" s="0">
        <f>SUM(Kebutuhan_Material!K2:K74)</f>
      </c>
      <c r="C21" s="0" t="inlineStr">
        <is>
          <t>m3</t>
        </is>
      </c>
    </row>
    <row r="22">
      <c r="A22" s="0" t="inlineStr">
        <is>
          <t>Air semenisasi</t>
        </is>
      </c>
      <c r="B22" s="0">
        <f>SUM(Kebutuhan_Material!L2:L74)</f>
      </c>
      <c r="C22" s="0" t="inlineStr">
        <is>
          <t>m3</t>
        </is>
      </c>
    </row>
  </sheetData>
</worksheet>
</file>